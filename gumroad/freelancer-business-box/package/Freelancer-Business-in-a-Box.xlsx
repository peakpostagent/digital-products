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lient CRM" sheetId="2" state="visible" r:id="rId2"/>
    <sheet name="Project Pipeline" sheetId="3" state="visible" r:id="rId3"/>
    <sheet name="Invoice Tracker" sheetId="4" state="visible" r:id="rId4"/>
    <sheet name="Income &amp; Expenses" sheetId="5" state="visible" r:id="rId5"/>
    <sheet name="Rate Calculator" sheetId="6" state="visible" r:id="rId6"/>
    <sheet name="Proposal Template" sheetId="7" state="visible" r:id="rId7"/>
  </sheets>
  <definedNames>
    <definedName name="_xlnm._FilterDatabase" localSheetId="1" hidden="1">'Client CRM'!$A$1:$L$4</definedName>
    <definedName name="_xlnm._FilterDatabase" localSheetId="2" hidden="1">'Project Pipeline'!$A$1:$M$5</definedName>
    <definedName name="_xlnm.Print_Area" localSheetId="6">'Proposal Template'!$A$1:$F$45</definedName>
  </definedNames>
  <calcPr calcId="124519" fullCalcOnLoad="1"/>
</workbook>
</file>

<file path=xl/styles.xml><?xml version="1.0" encoding="utf-8"?>
<styleSheet xmlns="http://schemas.openxmlformats.org/spreadsheetml/2006/main">
  <numFmts count="3">
    <numFmt numFmtId="164" formatCode="&quot;$&quot;#,##0.00"/>
    <numFmt numFmtId="165" formatCode="MM/DD/YYYY"/>
    <numFmt numFmtId="166" formatCode="0.0%"/>
  </numFmts>
  <fonts count="28">
    <font>
      <name val="Calibri"/>
      <family val="2"/>
      <color theme="1"/>
      <sz val="11"/>
      <scheme val="minor"/>
    </font>
    <font>
      <name val="Calibri"/>
      <b val="1"/>
      <color rgb="00FFFFFF"/>
      <sz val="11"/>
    </font>
    <font>
      <name val="Calibri"/>
      <color rgb="001A202C"/>
      <sz val="10"/>
    </font>
    <font>
      <name val="Calibri"/>
      <b val="1"/>
      <color rgb="001A365D"/>
      <sz val="12"/>
    </font>
    <font>
      <name val="Calibri"/>
      <b val="1"/>
      <color rgb="001A365D"/>
      <sz val="11"/>
    </font>
    <font>
      <name val="Calibri"/>
      <b val="1"/>
      <color rgb="00FFFFFF"/>
      <sz val="14"/>
    </font>
    <font>
      <name val="Calibri"/>
      <b val="1"/>
      <color rgb="0038A169"/>
      <sz val="12"/>
    </font>
    <font>
      <name val="Calibri"/>
      <b val="1"/>
      <color rgb="00E53E3E"/>
      <sz val="12"/>
    </font>
    <font>
      <name val="Calibri"/>
      <b val="1"/>
      <color rgb="001A365D"/>
      <sz val="14"/>
    </font>
    <font>
      <name val="Calibri"/>
      <b val="1"/>
      <color rgb="0038A169"/>
      <sz val="14"/>
    </font>
    <font>
      <name val="Calibri"/>
      <b val="1"/>
      <color rgb="00FFFFFF"/>
      <sz val="16"/>
    </font>
    <font>
      <name val="Calibri"/>
      <b val="1"/>
      <color rgb="00FFFFFF"/>
      <sz val="12"/>
    </font>
    <font>
      <name val="Calibri"/>
      <b val="1"/>
      <color rgb="002B6CB0"/>
      <sz val="12"/>
    </font>
    <font>
      <name val="Calibri"/>
      <b val="1"/>
      <color rgb="00FFFFFF"/>
      <sz val="22"/>
    </font>
    <font>
      <name val="Calibri"/>
      <color rgb="002B6CB0"/>
      <sz val="10"/>
    </font>
    <font>
      <name val="Calibri"/>
      <b val="1"/>
      <color rgb="001A365D"/>
      <sz val="18"/>
    </font>
    <font>
      <name val="Calibri"/>
      <color rgb="00718096"/>
      <sz val="9"/>
    </font>
    <font>
      <name val="Calibri"/>
      <b val="1"/>
      <color rgb="00FFFFFF"/>
      <sz val="18"/>
    </font>
    <font>
      <name val="Calibri"/>
      <i val="1"/>
      <color rgb="00718096"/>
      <sz val="10"/>
    </font>
    <font>
      <name val="Calibri"/>
      <b val="1"/>
      <color rgb="00FFFFFF"/>
      <sz val="9"/>
    </font>
    <font>
      <name val="Calibri"/>
      <b val="1"/>
      <color rgb="00FFFFFF"/>
      <sz val="10"/>
    </font>
    <font>
      <name val="Calibri"/>
      <b val="1"/>
      <color rgb="0038A169"/>
      <sz val="11"/>
    </font>
    <font>
      <name val="Calibri"/>
      <b val="1"/>
      <color rgb="002B6CB0"/>
      <sz val="11"/>
    </font>
    <font>
      <name val="Calibri"/>
      <b val="1"/>
      <color rgb="002B6CB0"/>
      <sz val="14"/>
    </font>
    <font>
      <name val="Calibri"/>
      <b val="1"/>
      <color rgb="00E53E3E"/>
      <sz val="11"/>
    </font>
    <font>
      <name val="Calibri"/>
      <b val="1"/>
      <color rgb="00E53E3E"/>
      <sz val="14"/>
    </font>
    <font>
      <name val="Calibri"/>
      <b val="1"/>
      <color rgb="00A0AEC0"/>
      <sz val="11"/>
    </font>
    <font>
      <name val="Calibri"/>
      <b val="1"/>
      <color rgb="00A0AEC0"/>
      <sz val="14"/>
    </font>
  </fonts>
  <fills count="11">
    <fill>
      <patternFill/>
    </fill>
    <fill>
      <patternFill patternType="gray125"/>
    </fill>
    <fill>
      <patternFill patternType="solid">
        <fgColor rgb="001A365D"/>
        <bgColor rgb="001A365D"/>
      </patternFill>
    </fill>
    <fill>
      <patternFill patternType="solid">
        <fgColor rgb="00EDF2F7"/>
        <bgColor rgb="00EDF2F7"/>
      </patternFill>
    </fill>
    <fill>
      <patternFill patternType="solid">
        <fgColor rgb="00F7FAFC"/>
        <bgColor rgb="00F7FAFC"/>
      </patternFill>
    </fill>
    <fill>
      <patternFill patternType="solid">
        <fgColor rgb="00FFFFFF"/>
        <bgColor rgb="00FFFFFF"/>
      </patternFill>
    </fill>
    <fill>
      <patternFill patternType="solid">
        <fgColor rgb="0038A169"/>
        <bgColor rgb="0038A169"/>
      </patternFill>
    </fill>
    <fill>
      <patternFill patternType="solid">
        <fgColor rgb="00E53E3E"/>
        <bgColor rgb="00E53E3E"/>
      </patternFill>
    </fill>
    <fill>
      <patternFill patternType="solid">
        <fgColor rgb="002B6CB0"/>
        <bgColor rgb="002B6CB0"/>
      </patternFill>
    </fill>
    <fill>
      <patternFill patternType="solid">
        <fgColor rgb="00FFFFF0"/>
        <bgColor rgb="00FFFFF0"/>
      </patternFill>
    </fill>
    <fill>
      <patternFill patternType="solid">
        <fgColor rgb="00805AD5"/>
        <bgColor rgb="00805AD5"/>
      </patternFill>
    </fill>
  </fills>
  <borders count="8">
    <border>
      <left/>
      <right/>
      <top/>
      <bottom/>
      <diagonal/>
    </border>
    <border>
      <left style="thin">
        <color rgb="00E2E8F0"/>
      </left>
      <right style="thin">
        <color rgb="00E2E8F0"/>
      </right>
      <top style="thin">
        <color rgb="00E2E8F0"/>
      </top>
      <bottom style="thin">
        <color rgb="00E2E8F0"/>
      </bottom>
    </border>
    <border>
      <left style="medium">
        <color rgb="002B6CB0"/>
      </left>
      <right style="medium">
        <color rgb="002B6CB0"/>
      </right>
      <top style="medium">
        <color rgb="002B6CB0"/>
      </top>
      <bottom style="medium">
        <color rgb="002B6CB0"/>
      </bottom>
    </border>
    <border>
      <left style="medium">
        <color rgb="00805AD5"/>
      </left>
      <right style="medium">
        <color rgb="00805AD5"/>
      </right>
      <top style="medium">
        <color rgb="00805AD5"/>
      </top>
      <bottom style="medium">
        <color rgb="00805AD5"/>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64">
    <xf numFmtId="0" fontId="0" fillId="0" borderId="0" pivotButton="0" quotePrefix="0" xfId="0"/>
    <xf numFmtId="0" fontId="17" fillId="2" borderId="0" applyAlignment="1" pivotButton="0" quotePrefix="0" xfId="0">
      <alignment horizontal="center" vertical="center"/>
    </xf>
    <xf numFmtId="0" fontId="18" fillId="0" borderId="0" applyAlignment="1" pivotButton="0" quotePrefix="0" xfId="0">
      <alignment horizontal="center"/>
    </xf>
    <xf numFmtId="0" fontId="11" fillId="8" borderId="0" pivotButton="0" quotePrefix="0" xfId="0"/>
    <xf numFmtId="0" fontId="19" fillId="8" borderId="0" applyAlignment="1" pivotButton="0" quotePrefix="0" xfId="0">
      <alignment horizontal="center" vertical="center"/>
    </xf>
    <xf numFmtId="164" fontId="15" fillId="4" borderId="1" applyAlignment="1" pivotButton="0" quotePrefix="0" xfId="0">
      <alignment horizontal="center" vertical="center"/>
    </xf>
    <xf numFmtId="0" fontId="11" fillId="6" borderId="0" pivotButton="0" quotePrefix="0" xfId="0"/>
    <xf numFmtId="0" fontId="4" fillId="0" borderId="0" applyAlignment="1" pivotButton="0" quotePrefix="0" xfId="0">
      <alignment indent="1"/>
    </xf>
    <xf numFmtId="164" fontId="3" fillId="3" borderId="1" pivotButton="0" quotePrefix="0" xfId="0"/>
    <xf numFmtId="0" fontId="20" fillId="2" borderId="0" pivotButton="0" quotePrefix="0" xfId="0"/>
    <xf numFmtId="0" fontId="2" fillId="4" borderId="1" applyAlignment="1" pivotButton="0" quotePrefix="0" xfId="0">
      <alignment vertical="center" wrapText="1"/>
    </xf>
    <xf numFmtId="164" fontId="2" fillId="4" borderId="1" applyAlignment="1" pivotButton="0" quotePrefix="0" xfId="0">
      <alignment vertical="center" wrapText="1"/>
    </xf>
    <xf numFmtId="0" fontId="2" fillId="5" borderId="1" applyAlignment="1" pivotButton="0" quotePrefix="0" xfId="0">
      <alignment vertical="center" wrapText="1"/>
    </xf>
    <xf numFmtId="164" fontId="2" fillId="5" borderId="1" applyAlignment="1" pivotButton="0" quotePrefix="0" xfId="0">
      <alignment vertical="center" wrapText="1"/>
    </xf>
    <xf numFmtId="166" fontId="2" fillId="4" borderId="1" applyAlignment="1" pivotButton="0" quotePrefix="0" xfId="0">
      <alignment vertical="center" wrapText="1"/>
    </xf>
    <xf numFmtId="0" fontId="11" fillId="2" borderId="1" applyAlignment="1" pivotButton="0" quotePrefix="0" xfId="0">
      <alignment vertical="center" wrapText="1"/>
    </xf>
    <xf numFmtId="0" fontId="0" fillId="0" borderId="6" pivotButton="0" quotePrefix="0" xfId="0"/>
    <xf numFmtId="0" fontId="0" fillId="0" borderId="7" pivotButton="0" quotePrefix="0" xfId="0"/>
    <xf numFmtId="0" fontId="4" fillId="5" borderId="1" applyAlignment="1" pivotButton="0" quotePrefix="0" xfId="0">
      <alignment indent="1"/>
    </xf>
    <xf numFmtId="0" fontId="8" fillId="3" borderId="1" applyAlignment="1" pivotButton="0" quotePrefix="0" xfId="0">
      <alignment horizontal="center"/>
    </xf>
    <xf numFmtId="164" fontId="2" fillId="3" borderId="1" applyAlignment="1" pivotButton="0" quotePrefix="0" xfId="0">
      <alignment vertical="center" wrapText="1"/>
    </xf>
    <xf numFmtId="0" fontId="4" fillId="4" borderId="1" applyAlignment="1" pivotButton="0" quotePrefix="0" xfId="0">
      <alignment indent="1"/>
    </xf>
    <xf numFmtId="0" fontId="11" fillId="2" borderId="0" pivotButton="0" quotePrefix="0" xfId="0"/>
    <xf numFmtId="0" fontId="21" fillId="0" borderId="0" applyAlignment="1" pivotButton="0" quotePrefix="0" xfId="0">
      <alignment indent="1"/>
    </xf>
    <xf numFmtId="0" fontId="9" fillId="3" borderId="1" applyAlignment="1" pivotButton="0" quotePrefix="0" xfId="0">
      <alignment horizontal="center"/>
    </xf>
    <xf numFmtId="164" fontId="0" fillId="3" borderId="1" pivotButton="0" quotePrefix="0" xfId="0"/>
    <xf numFmtId="0" fontId="22" fillId="0" borderId="0" applyAlignment="1" pivotButton="0" quotePrefix="0" xfId="0">
      <alignment indent="1"/>
    </xf>
    <xf numFmtId="0" fontId="23" fillId="3" borderId="1" applyAlignment="1" pivotButton="0" quotePrefix="0" xfId="0">
      <alignment horizontal="center"/>
    </xf>
    <xf numFmtId="0" fontId="24" fillId="0" borderId="0" applyAlignment="1" pivotButton="0" quotePrefix="0" xfId="0">
      <alignment indent="1"/>
    </xf>
    <xf numFmtId="0" fontId="25" fillId="3" borderId="1" applyAlignment="1" pivotButton="0" quotePrefix="0" xfId="0">
      <alignment horizontal="center"/>
    </xf>
    <xf numFmtId="0" fontId="26" fillId="0" borderId="0" applyAlignment="1" pivotButton="0" quotePrefix="0" xfId="0">
      <alignment indent="1"/>
    </xf>
    <xf numFmtId="0" fontId="27" fillId="3" borderId="1" applyAlignment="1" pivotButton="0" quotePrefix="0" xfId="0">
      <alignment horizontal="center"/>
    </xf>
    <xf numFmtId="0" fontId="1" fillId="2" borderId="1" applyAlignment="1" pivotButton="0" quotePrefix="0" xfId="0">
      <alignment horizontal="center" vertical="center" wrapText="1"/>
    </xf>
    <xf numFmtId="165" fontId="2" fillId="4" borderId="1" applyAlignment="1" pivotButton="0" quotePrefix="0" xfId="0">
      <alignment vertical="center" wrapText="1"/>
    </xf>
    <xf numFmtId="165" fontId="2" fillId="5" borderId="1" applyAlignment="1" pivotButton="0" quotePrefix="0" xfId="0">
      <alignment vertical="center" wrapText="1"/>
    </xf>
    <xf numFmtId="0" fontId="3" fillId="0" borderId="0" pivotButton="0" quotePrefix="0" xfId="0"/>
    <xf numFmtId="0" fontId="4" fillId="0" borderId="0" pivotButton="0" quotePrefix="0" xfId="0"/>
    <xf numFmtId="164" fontId="3" fillId="3" borderId="0" pivotButton="0" quotePrefix="0" xfId="0"/>
    <xf numFmtId="0" fontId="5" fillId="6" borderId="0" pivotButton="0" quotePrefix="0" xfId="0"/>
    <xf numFmtId="164" fontId="6" fillId="3" borderId="0" pivotButton="0" quotePrefix="0" xfId="0"/>
    <xf numFmtId="0" fontId="5" fillId="7" borderId="0" pivotButton="0" quotePrefix="0" xfId="0"/>
    <xf numFmtId="164" fontId="7" fillId="3" borderId="0" pivotButton="0" quotePrefix="0" xfId="0"/>
    <xf numFmtId="164" fontId="0" fillId="3" borderId="0" pivotButton="0" quotePrefix="0" xfId="0"/>
    <xf numFmtId="0" fontId="5" fillId="2" borderId="0" pivotButton="0" quotePrefix="0" xfId="0"/>
    <xf numFmtId="0" fontId="8" fillId="0" borderId="0" pivotButton="0" quotePrefix="0" xfId="0"/>
    <xf numFmtId="164" fontId="9" fillId="3" borderId="0" pivotButton="0" quotePrefix="0" xfId="0"/>
    <xf numFmtId="0" fontId="10" fillId="2" borderId="0" applyAlignment="1" pivotButton="0" quotePrefix="0" xfId="0">
      <alignment horizontal="center" vertical="center"/>
    </xf>
    <xf numFmtId="164" fontId="12" fillId="9" borderId="2" pivotButton="0" quotePrefix="0" xfId="0"/>
    <xf numFmtId="1" fontId="12" fillId="9" borderId="2" pivotButton="0" quotePrefix="0" xfId="0"/>
    <xf numFmtId="166" fontId="12" fillId="9" borderId="2" pivotButton="0" quotePrefix="0" xfId="0"/>
    <xf numFmtId="164" fontId="6" fillId="3" borderId="1" pivotButton="0" quotePrefix="0" xfId="0"/>
    <xf numFmtId="1" fontId="6" fillId="3" borderId="1" pivotButton="0" quotePrefix="0" xfId="0"/>
    <xf numFmtId="1" fontId="2" fillId="3" borderId="1" applyAlignment="1" pivotButton="0" quotePrefix="0" xfId="0">
      <alignment vertical="center" wrapText="1"/>
    </xf>
    <xf numFmtId="166" fontId="2" fillId="5" borderId="1" applyAlignment="1" pivotButton="0" quotePrefix="0" xfId="0">
      <alignment vertical="center" wrapText="1"/>
    </xf>
    <xf numFmtId="0" fontId="11" fillId="10" borderId="0" pivotButton="0" quotePrefix="0" xfId="0"/>
    <xf numFmtId="164" fontId="0" fillId="9" borderId="3" pivotButton="0" quotePrefix="0" xfId="0"/>
    <xf numFmtId="0" fontId="13" fillId="2" borderId="0" applyAlignment="1" pivotButton="0" quotePrefix="0" xfId="0">
      <alignment horizontal="center" vertical="center"/>
    </xf>
    <xf numFmtId="0" fontId="14" fillId="0" borderId="0" applyAlignment="1" pivotButton="0" quotePrefix="0" xfId="0">
      <alignment horizontal="center"/>
    </xf>
    <xf numFmtId="0" fontId="15" fillId="0" borderId="0" applyAlignment="1" pivotButton="0" quotePrefix="0" xfId="0">
      <alignment horizontal="center"/>
    </xf>
    <xf numFmtId="0" fontId="1" fillId="8" borderId="0" pivotButton="0" quotePrefix="0" xfId="0"/>
    <xf numFmtId="0" fontId="2" fillId="0" borderId="0" pivotButton="0" quotePrefix="0" xfId="0"/>
    <xf numFmtId="0" fontId="2" fillId="0" borderId="0" applyAlignment="1" pivotButton="0" quotePrefix="0" xfId="0">
      <alignment vertical="top" wrapText="1"/>
    </xf>
    <xf numFmtId="164" fontId="8" fillId="3" borderId="0" pivotButton="0" quotePrefix="0" xfId="0"/>
    <xf numFmtId="0" fontId="16" fillId="0" borderId="0" pivotButton="0" quotePrefix="0" xfId="0"/>
  </cellXfs>
  <cellStyles count="1">
    <cellStyle name="Normal" xfId="0" builtinId="0" hidden="0"/>
  </cellStyles>
  <dxfs count="10">
    <dxf>
      <font>
        <color rgb="00E53E3E"/>
      </font>
      <fill>
        <patternFill patternType="solid">
          <fgColor rgb="00FED7D7"/>
          <bgColor rgb="00FED7D7"/>
        </patternFill>
      </fill>
    </dxf>
    <dxf>
      <fill>
        <patternFill patternType="solid">
          <fgColor rgb="00C6F6D5"/>
          <bgColor rgb="00C6F6D5"/>
        </patternFill>
      </fill>
    </dxf>
    <dxf>
      <fill>
        <patternFill patternType="solid">
          <fgColor rgb="00FEFCBF"/>
          <bgColor rgb="00FEFCBF"/>
        </patternFill>
      </fill>
    </dxf>
    <dxf>
      <fill>
        <patternFill patternType="solid">
          <fgColor rgb="00FED7D7"/>
          <bgColor rgb="00FED7D7"/>
        </patternFill>
      </fill>
    </dxf>
    <dxf>
      <fill>
        <patternFill patternType="solid">
          <fgColor rgb="00E2E8F0"/>
          <bgColor rgb="00E2E8F0"/>
        </patternFill>
      </fill>
    </dxf>
    <dxf>
      <fill>
        <patternFill patternType="solid">
          <fgColor rgb="00BEE3F8"/>
          <bgColor rgb="00BEE3F8"/>
        </patternFill>
      </fill>
    </dxf>
    <dxf>
      <fill>
        <patternFill patternType="solid">
          <fgColor rgb="00E9D8FD"/>
          <bgColor rgb="00E9D8FD"/>
        </patternFill>
      </fill>
    </dxf>
    <dxf>
      <font>
        <b val="1"/>
        <color rgb="00E53E3E"/>
      </font>
      <fill>
        <patternFill patternType="solid">
          <fgColor rgb="00FED7D7"/>
          <bgColor rgb="00FED7D7"/>
        </patternFill>
      </fill>
    </dxf>
    <dxf>
      <font>
        <b val="1"/>
        <color rgb="00D69E2E"/>
      </font>
      <fill>
        <patternFill patternType="solid">
          <fgColor rgb="00FEFCBF"/>
          <bgColor rgb="00FEFCBF"/>
        </patternFill>
      </fill>
    </dxf>
    <dxf>
      <font>
        <b val="1"/>
        <color rgb="0038A169"/>
      </font>
      <fill>
        <patternFill patternType="solid">
          <fgColor rgb="00C6F6D5"/>
          <bgColor rgb="00C6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365D"/>
    <outlinePr summaryBelow="1" summaryRight="1"/>
    <pageSetUpPr/>
  </sheetPr>
  <dimension ref="A1:H27"/>
  <sheetViews>
    <sheetView workbookViewId="0">
      <pane ySplit="2" topLeftCell="A3"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3" customWidth="1" min="5" max="5"/>
    <col width="14" customWidth="1" min="6" max="6"/>
    <col width="14" customWidth="1" min="7" max="7"/>
    <col width="14" customWidth="1" min="8" max="8"/>
  </cols>
  <sheetData>
    <row r="1" ht="50" customHeight="1">
      <c r="A1" s="1" t="inlineStr">
        <is>
          <t>FREELANCER BUSINESS DASHBOARD</t>
        </is>
      </c>
    </row>
    <row r="2">
      <c r="A2" s="2" t="inlineStr">
        <is>
          <t>Your business at a glance  |  Data updates automatically from other tabs</t>
        </is>
      </c>
    </row>
    <row r="4">
      <c r="A4" s="3" t="inlineStr">
        <is>
          <t>KEY METRICS</t>
        </is>
      </c>
    </row>
    <row r="5">
      <c r="A5" s="4" t="inlineStr">
        <is>
          <t>Total Revenue (YTD)</t>
        </is>
      </c>
      <c r="C5" s="4" t="inlineStr">
        <is>
          <t>Outstanding Invoices</t>
        </is>
      </c>
      <c r="E5" s="4" t="inlineStr">
        <is>
          <t>Active Projects</t>
        </is>
      </c>
      <c r="G5" s="4" t="inlineStr">
        <is>
          <t>Monthly Avg Income</t>
        </is>
      </c>
    </row>
    <row r="6" ht="40" customHeight="1">
      <c r="A6" s="5">
        <f>'Income &amp; Expenses'!E12</f>
        <v/>
      </c>
      <c r="C6" s="5">
        <f>SUMIF('Invoice Tracker'!G:G,"Sent",'Invoice Tracker'!F:F)</f>
        <v/>
      </c>
      <c r="E6" s="5">
        <f>COUNTIF('Project Pipeline'!C:C,"Active")</f>
        <v/>
      </c>
      <c r="G6" s="5">
        <f>'Income &amp; Expenses'!E12/MONTH(TODAY())</f>
        <v/>
      </c>
    </row>
    <row r="8">
      <c r="A8" s="6" t="inlineStr">
        <is>
          <t>QUICK STATS</t>
        </is>
      </c>
      <c r="F8" s="6" t="inlineStr">
        <is>
          <t>MONTHLY REVENUE</t>
        </is>
      </c>
    </row>
    <row r="9">
      <c r="A9" s="7" t="inlineStr">
        <is>
          <t>Total Clients:</t>
        </is>
      </c>
      <c r="B9" s="8">
        <f>COUNTA('Client CRM'!A2:A200)</f>
        <v/>
      </c>
      <c r="F9" s="9" t="inlineStr">
        <is>
          <t>Month</t>
        </is>
      </c>
      <c r="G9" s="9" t="inlineStr">
        <is>
          <t>Income</t>
        </is>
      </c>
      <c r="H9" s="9" t="inlineStr">
        <is>
          <t>Expenses</t>
        </is>
      </c>
    </row>
    <row r="10">
      <c r="A10" s="10" t="inlineStr">
        <is>
          <t>Active Clients:</t>
        </is>
      </c>
      <c r="B10" s="11">
        <f>COUNTIF('Client CRM'!G:G,"Active")</f>
        <v/>
      </c>
      <c r="C10" s="10" t="n"/>
      <c r="D10" s="10" t="n"/>
      <c r="E10" s="10" t="n"/>
      <c r="F10" s="10" t="inlineStr">
        <is>
          <t>January</t>
        </is>
      </c>
      <c r="G10" s="11">
        <f>SUMPRODUCT(('Income &amp; Expenses'!A3:A10&lt;&gt;"")*(MONTH('Income &amp; Expenses'!A3:A10)=1)*('Income &amp; Expenses'!E3:E10))</f>
        <v/>
      </c>
      <c r="H10" s="11">
        <f>SUMPRODUCT(('Income &amp; Expenses'!A16:A25&lt;&gt;"")*(MONTH('Income &amp; Expenses'!A16:A25)=1)*('Income &amp; Expenses'!D16:D25))</f>
        <v/>
      </c>
    </row>
    <row r="11">
      <c r="A11" s="12" t="inlineStr">
        <is>
          <t>Avg Project Value:</t>
        </is>
      </c>
      <c r="B11" s="13">
        <f>AVERAGE('Project Pipeline'!I2:I200)</f>
        <v/>
      </c>
      <c r="C11" s="12" t="n"/>
      <c r="D11" s="12" t="n"/>
      <c r="E11" s="12" t="n"/>
      <c r="F11" s="12" t="inlineStr">
        <is>
          <t>February</t>
        </is>
      </c>
      <c r="G11" s="13">
        <f>SUMPRODUCT(('Income &amp; Expenses'!A3:A10&lt;&gt;"")*(MONTH('Income &amp; Expenses'!A3:A10)=2)*('Income &amp; Expenses'!E3:E10))</f>
        <v/>
      </c>
      <c r="H11" s="13">
        <f>SUMPRODUCT(('Income &amp; Expenses'!A16:A25&lt;&gt;"")*(MONTH('Income &amp; Expenses'!A16:A25)=2)*('Income &amp; Expenses'!D16:D25))</f>
        <v/>
      </c>
    </row>
    <row r="12">
      <c r="A12" s="10" t="inlineStr">
        <is>
          <t>Total Expenses (YTD):</t>
        </is>
      </c>
      <c r="B12" s="11">
        <f>'Income &amp; Expenses'!D26</f>
        <v/>
      </c>
      <c r="C12" s="10" t="n"/>
      <c r="D12" s="10" t="n"/>
      <c r="E12" s="10" t="n"/>
      <c r="F12" s="10" t="inlineStr">
        <is>
          <t>March</t>
        </is>
      </c>
      <c r="G12" s="11">
        <f>SUMPRODUCT(('Income &amp; Expenses'!A3:A10&lt;&gt;"")*(MONTH('Income &amp; Expenses'!A3:A10)=3)*('Income &amp; Expenses'!E3:E10))</f>
        <v/>
      </c>
      <c r="H12" s="11">
        <f>SUMPRODUCT(('Income &amp; Expenses'!A16:A25&lt;&gt;"")*(MONTH('Income &amp; Expenses'!A16:A25)=3)*('Income &amp; Expenses'!D16:D25))</f>
        <v/>
      </c>
    </row>
    <row r="13">
      <c r="A13" s="12" t="inlineStr">
        <is>
          <t>Net Profit (YTD):</t>
        </is>
      </c>
      <c r="B13" s="13">
        <f>'Income &amp; Expenses'!B32</f>
        <v/>
      </c>
      <c r="C13" s="12" t="n"/>
      <c r="D13" s="12" t="n"/>
      <c r="E13" s="12" t="n"/>
      <c r="F13" s="12" t="inlineStr">
        <is>
          <t>April</t>
        </is>
      </c>
      <c r="G13" s="13">
        <f>SUMPRODUCT(('Income &amp; Expenses'!A3:A10&lt;&gt;"")*(MONTH('Income &amp; Expenses'!A3:A10)=4)*('Income &amp; Expenses'!E3:E10))</f>
        <v/>
      </c>
      <c r="H13" s="13">
        <f>SUMPRODUCT(('Income &amp; Expenses'!A16:A25&lt;&gt;"")*(MONTH('Income &amp; Expenses'!A16:A25)=4)*('Income &amp; Expenses'!D16:D25))</f>
        <v/>
      </c>
    </row>
    <row r="14">
      <c r="A14" s="10" t="inlineStr">
        <is>
          <t>Profit Margin:</t>
        </is>
      </c>
      <c r="B14" s="14">
        <f>IF('Income &amp; Expenses'!B30&gt;0,'Income &amp; Expenses'!B32/'Income &amp; Expenses'!B30,0)</f>
        <v/>
      </c>
      <c r="C14" s="10" t="n"/>
      <c r="D14" s="10" t="n"/>
      <c r="E14" s="10" t="n"/>
      <c r="F14" s="10" t="inlineStr">
        <is>
          <t>May</t>
        </is>
      </c>
      <c r="G14" s="11">
        <f>SUMPRODUCT(('Income &amp; Expenses'!A3:A10&lt;&gt;"")*(MONTH('Income &amp; Expenses'!A3:A10)=5)*('Income &amp; Expenses'!E3:E10))</f>
        <v/>
      </c>
      <c r="H14" s="11">
        <f>SUMPRODUCT(('Income &amp; Expenses'!A16:A25&lt;&gt;"")*(MONTH('Income &amp; Expenses'!A16:A25)=5)*('Income &amp; Expenses'!D16:D25))</f>
        <v/>
      </c>
    </row>
    <row r="15">
      <c r="A15" s="12" t="n"/>
      <c r="B15" s="12" t="n"/>
      <c r="C15" s="12" t="n"/>
      <c r="D15" s="12" t="n"/>
      <c r="E15" s="12" t="n"/>
      <c r="F15" s="12" t="inlineStr">
        <is>
          <t>June</t>
        </is>
      </c>
      <c r="G15" s="13">
        <f>SUMPRODUCT(('Income &amp; Expenses'!A3:A10&lt;&gt;"")*(MONTH('Income &amp; Expenses'!A3:A10)=6)*('Income &amp; Expenses'!E3:E10))</f>
        <v/>
      </c>
      <c r="H15" s="13">
        <f>SUMPRODUCT(('Income &amp; Expenses'!A16:A25&lt;&gt;"")*(MONTH('Income &amp; Expenses'!A16:A25)=6)*('Income &amp; Expenses'!D16:D25))</f>
        <v/>
      </c>
    </row>
    <row r="16">
      <c r="A16" s="15" t="inlineStr">
        <is>
          <t>PIPELINE STATUS</t>
        </is>
      </c>
      <c r="B16" s="16" t="n"/>
      <c r="C16" s="16" t="n"/>
      <c r="D16" s="17" t="n"/>
      <c r="E16" s="10" t="n"/>
      <c r="F16" s="10" t="inlineStr">
        <is>
          <t>July</t>
        </is>
      </c>
      <c r="G16" s="11">
        <f>SUMPRODUCT(('Income &amp; Expenses'!A3:A10&lt;&gt;"")*(MONTH('Income &amp; Expenses'!A3:A10)=7)*('Income &amp; Expenses'!E3:E10))</f>
        <v/>
      </c>
      <c r="H16" s="11">
        <f>SUMPRODUCT(('Income &amp; Expenses'!A16:A25&lt;&gt;"")*(MONTH('Income &amp; Expenses'!A16:A25)=7)*('Income &amp; Expenses'!D16:D25))</f>
        <v/>
      </c>
    </row>
    <row r="17">
      <c r="A17" s="18" t="inlineStr">
        <is>
          <t>Lead</t>
        </is>
      </c>
      <c r="B17" s="19">
        <f>COUNTIF('Project Pipeline'!C:C,"Lead")</f>
        <v/>
      </c>
      <c r="C17" s="20">
        <f>SUMIF('Project Pipeline'!C:C,"Lead",'Project Pipeline'!I:I)</f>
        <v/>
      </c>
      <c r="D17" s="17" t="n"/>
      <c r="E17" s="12" t="n"/>
      <c r="F17" s="12" t="inlineStr">
        <is>
          <t>August</t>
        </is>
      </c>
      <c r="G17" s="13">
        <f>SUMPRODUCT(('Income &amp; Expenses'!A3:A10&lt;&gt;"")*(MONTH('Income &amp; Expenses'!A3:A10)=8)*('Income &amp; Expenses'!E3:E10))</f>
        <v/>
      </c>
      <c r="H17" s="13">
        <f>SUMPRODUCT(('Income &amp; Expenses'!A16:A25&lt;&gt;"")*(MONTH('Income &amp; Expenses'!A16:A25)=8)*('Income &amp; Expenses'!D16:D25))</f>
        <v/>
      </c>
    </row>
    <row r="18">
      <c r="A18" s="21" t="inlineStr">
        <is>
          <t>Proposal</t>
        </is>
      </c>
      <c r="B18" s="19">
        <f>COUNTIF('Project Pipeline'!C:C,"Proposal")</f>
        <v/>
      </c>
      <c r="C18" s="20">
        <f>SUMIF('Project Pipeline'!C:C,"Proposal",'Project Pipeline'!I:I)</f>
        <v/>
      </c>
      <c r="D18" s="17" t="n"/>
      <c r="E18" s="10" t="n"/>
      <c r="F18" s="10" t="inlineStr">
        <is>
          <t>September</t>
        </is>
      </c>
      <c r="G18" s="11">
        <f>SUMPRODUCT(('Income &amp; Expenses'!A3:A10&lt;&gt;"")*(MONTH('Income &amp; Expenses'!A3:A10)=9)*('Income &amp; Expenses'!E3:E10))</f>
        <v/>
      </c>
      <c r="H18" s="11">
        <f>SUMPRODUCT(('Income &amp; Expenses'!A16:A25&lt;&gt;"")*(MONTH('Income &amp; Expenses'!A16:A25)=9)*('Income &amp; Expenses'!D16:D25))</f>
        <v/>
      </c>
    </row>
    <row r="19">
      <c r="A19" s="18" t="inlineStr">
        <is>
          <t>Active</t>
        </is>
      </c>
      <c r="B19" s="19">
        <f>COUNTIF('Project Pipeline'!C:C,"Active")</f>
        <v/>
      </c>
      <c r="C19" s="20">
        <f>SUMIF('Project Pipeline'!C:C,"Active",'Project Pipeline'!I:I)</f>
        <v/>
      </c>
      <c r="D19" s="17" t="n"/>
      <c r="E19" s="12" t="n"/>
      <c r="F19" s="12" t="inlineStr">
        <is>
          <t>October</t>
        </is>
      </c>
      <c r="G19" s="13">
        <f>SUMPRODUCT(('Income &amp; Expenses'!A3:A10&lt;&gt;"")*(MONTH('Income &amp; Expenses'!A3:A10)=10)*('Income &amp; Expenses'!E3:E10))</f>
        <v/>
      </c>
      <c r="H19" s="13">
        <f>SUMPRODUCT(('Income &amp; Expenses'!A16:A25&lt;&gt;"")*(MONTH('Income &amp; Expenses'!A16:A25)=10)*('Income &amp; Expenses'!D16:D25))</f>
        <v/>
      </c>
    </row>
    <row r="20">
      <c r="A20" s="21" t="inlineStr">
        <is>
          <t>Review</t>
        </is>
      </c>
      <c r="B20" s="19">
        <f>COUNTIF('Project Pipeline'!C:C,"Review")</f>
        <v/>
      </c>
      <c r="C20" s="20">
        <f>SUMIF('Project Pipeline'!C:C,"Review",'Project Pipeline'!I:I)</f>
        <v/>
      </c>
      <c r="D20" s="17" t="n"/>
      <c r="E20" s="10" t="n"/>
      <c r="F20" s="10" t="inlineStr">
        <is>
          <t>November</t>
        </is>
      </c>
      <c r="G20" s="11">
        <f>SUMPRODUCT(('Income &amp; Expenses'!A3:A10&lt;&gt;"")*(MONTH('Income &amp; Expenses'!A3:A10)=11)*('Income &amp; Expenses'!E3:E10))</f>
        <v/>
      </c>
      <c r="H20" s="11">
        <f>SUMPRODUCT(('Income &amp; Expenses'!A16:A25&lt;&gt;"")*(MONTH('Income &amp; Expenses'!A16:A25)=11)*('Income &amp; Expenses'!D16:D25))</f>
        <v/>
      </c>
    </row>
    <row r="21">
      <c r="A21" s="18" t="inlineStr">
        <is>
          <t>Complete</t>
        </is>
      </c>
      <c r="B21" s="19">
        <f>COUNTIF('Project Pipeline'!C:C,"Complete")</f>
        <v/>
      </c>
      <c r="C21" s="20">
        <f>SUMIF('Project Pipeline'!C:C,"Complete",'Project Pipeline'!I:I)</f>
        <v/>
      </c>
      <c r="D21" s="17" t="n"/>
      <c r="E21" s="12" t="n"/>
      <c r="F21" s="12" t="inlineStr">
        <is>
          <t>December</t>
        </is>
      </c>
      <c r="G21" s="13">
        <f>SUMPRODUCT(('Income &amp; Expenses'!A3:A10&lt;&gt;"")*(MONTH('Income &amp; Expenses'!A3:A10)=12)*('Income &amp; Expenses'!E3:E10))</f>
        <v/>
      </c>
      <c r="H21" s="13">
        <f>SUMPRODUCT(('Income &amp; Expenses'!A16:A25&lt;&gt;"")*(MONTH('Income &amp; Expenses'!A16:A25)=12)*('Income &amp; Expenses'!D16:D25))</f>
        <v/>
      </c>
    </row>
    <row r="23">
      <c r="A23" s="22" t="inlineStr">
        <is>
          <t>INVOICE SUMMARY</t>
        </is>
      </c>
    </row>
    <row r="24">
      <c r="A24" s="23" t="inlineStr">
        <is>
          <t>Paid</t>
        </is>
      </c>
      <c r="B24" s="24">
        <f>COUNTIF('Invoice Tracker'!G:G,"Paid")</f>
        <v/>
      </c>
      <c r="C24" s="25">
        <f>SUMIF('Invoice Tracker'!G:G,"Paid",'Invoice Tracker'!F:F)</f>
        <v/>
      </c>
    </row>
    <row r="25">
      <c r="A25" s="26" t="inlineStr">
        <is>
          <t>Sent</t>
        </is>
      </c>
      <c r="B25" s="27">
        <f>COUNTIF('Invoice Tracker'!G:G,"Sent")</f>
        <v/>
      </c>
      <c r="C25" s="25">
        <f>SUMIF('Invoice Tracker'!G:G,"Sent",'Invoice Tracker'!F:F)</f>
        <v/>
      </c>
    </row>
    <row r="26">
      <c r="A26" s="28" t="inlineStr">
        <is>
          <t>Overdue</t>
        </is>
      </c>
      <c r="B26" s="29">
        <f>COUNTIF('Invoice Tracker'!G:G,"Overdue")</f>
        <v/>
      </c>
      <c r="C26" s="25">
        <f>SUMIF('Invoice Tracker'!G:G,"Overdue",'Invoice Tracker'!F:F)</f>
        <v/>
      </c>
    </row>
    <row r="27">
      <c r="A27" s="30" t="inlineStr">
        <is>
          <t>Draft</t>
        </is>
      </c>
      <c r="B27" s="31">
        <f>COUNTIF('Invoice Tracker'!G:G,"Draft")</f>
        <v/>
      </c>
      <c r="C27" s="25">
        <f>SUMIF('Invoice Tracker'!G:G,"Draft",'Invoice Tracker'!F:F)</f>
        <v/>
      </c>
    </row>
  </sheetData>
  <mergeCells count="30">
    <mergeCell ref="B11:D11"/>
    <mergeCell ref="A23:D23"/>
    <mergeCell ref="C6:D6"/>
    <mergeCell ref="A8:D8"/>
    <mergeCell ref="B14:D14"/>
    <mergeCell ref="C24:D24"/>
    <mergeCell ref="C5:D5"/>
    <mergeCell ref="E5:F5"/>
    <mergeCell ref="B13:D13"/>
    <mergeCell ref="F8:H8"/>
    <mergeCell ref="A1:H1"/>
    <mergeCell ref="C26:D26"/>
    <mergeCell ref="A6:B6"/>
    <mergeCell ref="B10:D10"/>
    <mergeCell ref="C20:D20"/>
    <mergeCell ref="C25:D25"/>
    <mergeCell ref="B9:D9"/>
    <mergeCell ref="G6:H6"/>
    <mergeCell ref="E6:F6"/>
    <mergeCell ref="C21:D21"/>
    <mergeCell ref="A2:H2"/>
    <mergeCell ref="C27:D27"/>
    <mergeCell ref="A5:B5"/>
    <mergeCell ref="G5:H5"/>
    <mergeCell ref="A16:D16"/>
    <mergeCell ref="C17:D17"/>
    <mergeCell ref="A4:H4"/>
    <mergeCell ref="C19:D19"/>
    <mergeCell ref="C18:D18"/>
    <mergeCell ref="B12:D12"/>
  </mergeCells>
  <pageMargins left="0.75" right="0.75" top="1" bottom="1" header="0.5" footer="0.5"/>
</worksheet>
</file>

<file path=xl/worksheets/sheet2.xml><?xml version="1.0" encoding="utf-8"?>
<worksheet xmlns="http://schemas.openxmlformats.org/spreadsheetml/2006/main">
  <sheetPr>
    <tabColor rgb="002B6CB0"/>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25" customWidth="1" min="3" max="3"/>
    <col width="16" customWidth="1" min="4" max="4"/>
    <col width="14" customWidth="1" min="5" max="5"/>
    <col width="15" customWidth="1" min="6" max="6"/>
    <col width="12" customWidth="1" min="7" max="7"/>
    <col width="14" customWidth="1" min="8" max="8"/>
    <col width="14" customWidth="1" min="9" max="9"/>
    <col width="16" customWidth="1" min="10" max="10"/>
    <col width="30" customWidth="1" min="11" max="11"/>
    <col width="16" customWidth="1" min="12" max="12"/>
  </cols>
  <sheetData>
    <row r="1">
      <c r="A1" s="32" t="inlineStr">
        <is>
          <t>Client Name</t>
        </is>
      </c>
      <c r="B1" s="32" t="inlineStr">
        <is>
          <t>Company</t>
        </is>
      </c>
      <c r="C1" s="32" t="inlineStr">
        <is>
          <t>Email</t>
        </is>
      </c>
      <c r="D1" s="32" t="inlineStr">
        <is>
          <t>Phone</t>
        </is>
      </c>
      <c r="E1" s="32" t="inlineStr">
        <is>
          <t>Industry</t>
        </is>
      </c>
      <c r="F1" s="32" t="inlineStr">
        <is>
          <t>Source</t>
        </is>
      </c>
      <c r="G1" s="32" t="inlineStr">
        <is>
          <t>Status</t>
        </is>
      </c>
      <c r="H1" s="32" t="inlineStr">
        <is>
          <t>First Contact</t>
        </is>
      </c>
      <c r="I1" s="32" t="inlineStr">
        <is>
          <t>Last Contact</t>
        </is>
      </c>
      <c r="J1" s="32" t="inlineStr">
        <is>
          <t>Lifetime Value</t>
        </is>
      </c>
      <c r="K1" s="32" t="inlineStr">
        <is>
          <t>Notes</t>
        </is>
      </c>
      <c r="L1" s="32" t="inlineStr">
        <is>
          <t>Next Follow-up</t>
        </is>
      </c>
    </row>
    <row r="2">
      <c r="A2" s="10" t="inlineStr">
        <is>
          <t>Sarah Mitchell</t>
        </is>
      </c>
      <c r="B2" s="10" t="inlineStr">
        <is>
          <t>BrightPath Marketing</t>
        </is>
      </c>
      <c r="C2" s="10" t="inlineStr">
        <is>
          <t>sarah@brightpath.co</t>
        </is>
      </c>
      <c r="D2" s="10" t="inlineStr">
        <is>
          <t>(555) 234-8901</t>
        </is>
      </c>
      <c r="E2" s="10" t="inlineStr">
        <is>
          <t>Marketing</t>
        </is>
      </c>
      <c r="F2" s="10" t="inlineStr">
        <is>
          <t>Referral</t>
        </is>
      </c>
      <c r="G2" s="10" t="inlineStr">
        <is>
          <t>Active</t>
        </is>
      </c>
      <c r="H2" s="33" t="inlineStr">
        <is>
          <t>2025-03-15</t>
        </is>
      </c>
      <c r="I2" s="33" t="inlineStr">
        <is>
          <t>2026-02-28</t>
        </is>
      </c>
      <c r="J2" s="11">
        <f>SUMIFS('Project Pipeline'!I:I,'Project Pipeline'!B:B,A2)</f>
        <v/>
      </c>
      <c r="K2" s="10" t="inlineStr">
        <is>
          <t>Great communicator, prefers Slack</t>
        </is>
      </c>
      <c r="L2" s="33" t="inlineStr">
        <is>
          <t>2026-03-20</t>
        </is>
      </c>
    </row>
    <row r="3">
      <c r="A3" s="12" t="inlineStr">
        <is>
          <t>David Chen</t>
        </is>
      </c>
      <c r="B3" s="12" t="inlineStr">
        <is>
          <t>Chen Legal Group</t>
        </is>
      </c>
      <c r="C3" s="12" t="inlineStr">
        <is>
          <t>david@chenlegal.com</t>
        </is>
      </c>
      <c r="D3" s="12" t="inlineStr">
        <is>
          <t>(555) 456-7890</t>
        </is>
      </c>
      <c r="E3" s="12" t="inlineStr">
        <is>
          <t>Legal</t>
        </is>
      </c>
      <c r="F3" s="12" t="inlineStr">
        <is>
          <t>Website</t>
        </is>
      </c>
      <c r="G3" s="12" t="inlineStr">
        <is>
          <t>Active</t>
        </is>
      </c>
      <c r="H3" s="34" t="inlineStr">
        <is>
          <t>2025-06-01</t>
        </is>
      </c>
      <c r="I3" s="34" t="inlineStr">
        <is>
          <t>2026-03-10</t>
        </is>
      </c>
      <c r="J3" s="13">
        <f>SUMIFS('Project Pipeline'!I:I,'Project Pipeline'!B:B,A3)</f>
        <v/>
      </c>
      <c r="K3" s="12" t="inlineStr">
        <is>
          <t>Needs quick turnaround, pays on time</t>
        </is>
      </c>
      <c r="L3" s="34" t="inlineStr">
        <is>
          <t>2026-04-01</t>
        </is>
      </c>
    </row>
    <row r="4">
      <c r="A4" s="10" t="inlineStr">
        <is>
          <t>Maria Rodriguez</t>
        </is>
      </c>
      <c r="B4" s="10" t="inlineStr">
        <is>
          <t>Bloom &amp; Grow Cafe</t>
        </is>
      </c>
      <c r="C4" s="10" t="inlineStr">
        <is>
          <t>maria@bloomgrow.com</t>
        </is>
      </c>
      <c r="D4" s="10" t="inlineStr">
        <is>
          <t>(555) 789-0123</t>
        </is>
      </c>
      <c r="E4" s="10" t="inlineStr">
        <is>
          <t>Food &amp; Bev</t>
        </is>
      </c>
      <c r="F4" s="10" t="inlineStr">
        <is>
          <t>Social Media</t>
        </is>
      </c>
      <c r="G4" s="10" t="inlineStr">
        <is>
          <t>Lead</t>
        </is>
      </c>
      <c r="H4" s="33" t="inlineStr">
        <is>
          <t>2026-02-14</t>
        </is>
      </c>
      <c r="I4" s="33" t="inlineStr">
        <is>
          <t>2026-03-01</t>
        </is>
      </c>
      <c r="J4" s="11">
        <f>SUMIFS('Project Pipeline'!I:I,'Project Pipeline'!B:B,A4)</f>
        <v/>
      </c>
      <c r="K4" s="10" t="inlineStr">
        <is>
          <t>Interested in brand redesign, follow up Q2</t>
        </is>
      </c>
      <c r="L4" s="33" t="inlineStr">
        <is>
          <t>2026-03-25</t>
        </is>
      </c>
    </row>
  </sheetData>
  <autoFilter ref="A1:L4"/>
  <conditionalFormatting sqref="L2:L200">
    <cfRule type="expression" priority="1" dxfId="0">
      <formula>AND(L2&lt;&gt;"",$L2&lt;TODAY())</formula>
    </cfRule>
  </conditionalFormatting>
  <conditionalFormatting sqref="G2:G200">
    <cfRule type="cellIs" priority="2" operator="equal" dxfId="1">
      <formula>"Active"</formula>
    </cfRule>
    <cfRule type="cellIs" priority="3" operator="equal" dxfId="2">
      <formula>"Lead"</formula>
    </cfRule>
    <cfRule type="cellIs" priority="4" operator="equal" dxfId="3">
      <formula>"Inactive"</formula>
    </cfRule>
    <cfRule type="cellIs" priority="5" operator="equal" dxfId="4">
      <formula>"Past"</formula>
    </cfRule>
  </conditionalFormatting>
  <dataValidations count="2">
    <dataValidation sqref="F2:F200" showDropDown="0" showInputMessage="0" showErrorMessage="0" allowBlank="1" promptTitle="Source" prompt="Select lead source" type="list">
      <formula1>"Referral,Website,Social Media,Cold Outreach,Networking,Conference,Other"</formula1>
    </dataValidation>
    <dataValidation sqref="G2:G200" showDropDown="0" showInputMessage="0" showErrorMessage="0" allowBlank="1" promptTitle="Status" prompt="Select client status" type="list">
      <formula1>"Active,Inactive,Lead,Past"</formula1>
    </dataValidation>
  </dataValidations>
  <pageMargins left="0.75" right="0.75" top="1" bottom="1" header="0.5" footer="0.5"/>
</worksheet>
</file>

<file path=xl/worksheets/sheet3.xml><?xml version="1.0" encoding="utf-8"?>
<worksheet xmlns="http://schemas.openxmlformats.org/spreadsheetml/2006/main">
  <sheetPr>
    <tabColor rgb="0038A169"/>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2" customWidth="1" min="6" max="6"/>
    <col width="12" customWidth="1" min="7" max="7"/>
    <col width="13" customWidth="1" min="8" max="8"/>
    <col width="15" customWidth="1" min="9" max="9"/>
    <col width="14" customWidth="1" min="10" max="10"/>
    <col width="14" customWidth="1" min="11" max="11"/>
    <col width="11" customWidth="1" min="12" max="12"/>
    <col width="30" customWidth="1" min="13" max="13"/>
  </cols>
  <sheetData>
    <row r="1">
      <c r="A1" s="32" t="inlineStr">
        <is>
          <t>Project Name</t>
        </is>
      </c>
      <c r="B1" s="32" t="inlineStr">
        <is>
          <t>Client</t>
        </is>
      </c>
      <c r="C1" s="32" t="inlineStr">
        <is>
          <t>Status</t>
        </is>
      </c>
      <c r="D1" s="32" t="inlineStr">
        <is>
          <t>Start Date</t>
        </is>
      </c>
      <c r="E1" s="32" t="inlineStr">
        <is>
          <t>Deadline</t>
        </is>
      </c>
      <c r="F1" s="32" t="inlineStr">
        <is>
          <t>Est. Hours</t>
        </is>
      </c>
      <c r="G1" s="32" t="inlineStr">
        <is>
          <t>Actual Hours</t>
        </is>
      </c>
      <c r="H1" s="32" t="inlineStr">
        <is>
          <t>Hourly Rate</t>
        </is>
      </c>
      <c r="I1" s="32" t="inlineStr">
        <is>
          <t>Project Value</t>
        </is>
      </c>
      <c r="J1" s="32" t="inlineStr">
        <is>
          <t>Amount Paid</t>
        </is>
      </c>
      <c r="K1" s="32" t="inlineStr">
        <is>
          <t>Amount Due</t>
        </is>
      </c>
      <c r="L1" s="32" t="inlineStr">
        <is>
          <t>Priority</t>
        </is>
      </c>
      <c r="M1" s="32" t="inlineStr">
        <is>
          <t>Notes</t>
        </is>
      </c>
    </row>
    <row r="2">
      <c r="A2" s="10" t="inlineStr">
        <is>
          <t>Website Redesign</t>
        </is>
      </c>
      <c r="B2" s="10" t="inlineStr">
        <is>
          <t>Sarah Mitchell</t>
        </is>
      </c>
      <c r="C2" s="10" t="inlineStr">
        <is>
          <t>Active</t>
        </is>
      </c>
      <c r="D2" s="33" t="inlineStr">
        <is>
          <t>2026-01-15</t>
        </is>
      </c>
      <c r="E2" s="33" t="inlineStr">
        <is>
          <t>2026-04-15</t>
        </is>
      </c>
      <c r="F2" s="10" t="n">
        <v>80</v>
      </c>
      <c r="G2" s="10" t="n">
        <v>45</v>
      </c>
      <c r="H2" s="11" t="n">
        <v>95</v>
      </c>
      <c r="I2" s="11">
        <f>F2*H2</f>
        <v/>
      </c>
      <c r="J2" s="11" t="n">
        <v>3800</v>
      </c>
      <c r="K2" s="11">
        <f>I2-J2</f>
        <v/>
      </c>
      <c r="L2" s="10" t="inlineStr">
        <is>
          <t>High</t>
        </is>
      </c>
      <c r="M2" s="10" t="inlineStr">
        <is>
          <t>Phase 2 starting next week</t>
        </is>
      </c>
    </row>
    <row r="3">
      <c r="A3" s="12" t="inlineStr">
        <is>
          <t>Brand Identity Package</t>
        </is>
      </c>
      <c r="B3" s="12" t="inlineStr">
        <is>
          <t>Maria Rodriguez</t>
        </is>
      </c>
      <c r="C3" s="12" t="inlineStr">
        <is>
          <t>Proposal</t>
        </is>
      </c>
      <c r="D3" s="34" t="inlineStr">
        <is>
          <t>2026-04-01</t>
        </is>
      </c>
      <c r="E3" s="34" t="inlineStr">
        <is>
          <t>2026-05-30</t>
        </is>
      </c>
      <c r="F3" s="12" t="n">
        <v>40</v>
      </c>
      <c r="G3" s="12" t="n">
        <v>0</v>
      </c>
      <c r="H3" s="13" t="n">
        <v>85</v>
      </c>
      <c r="I3" s="13">
        <f>F3*H3</f>
        <v/>
      </c>
      <c r="J3" s="13" t="n">
        <v>0</v>
      </c>
      <c r="K3" s="13">
        <f>I3-J3</f>
        <v/>
      </c>
      <c r="L3" s="12" t="inlineStr">
        <is>
          <t>Medium</t>
        </is>
      </c>
      <c r="M3" s="12" t="inlineStr">
        <is>
          <t>Waiting on client approval</t>
        </is>
      </c>
    </row>
    <row r="4">
      <c r="A4" s="10" t="inlineStr">
        <is>
          <t>Legal Blog Content</t>
        </is>
      </c>
      <c r="B4" s="10" t="inlineStr">
        <is>
          <t>David Chen</t>
        </is>
      </c>
      <c r="C4" s="10" t="inlineStr">
        <is>
          <t>Active</t>
        </is>
      </c>
      <c r="D4" s="33" t="inlineStr">
        <is>
          <t>2026-02-01</t>
        </is>
      </c>
      <c r="E4" s="33" t="inlineStr">
        <is>
          <t>2026-06-30</t>
        </is>
      </c>
      <c r="F4" s="10" t="n">
        <v>120</v>
      </c>
      <c r="G4" s="10" t="n">
        <v>68</v>
      </c>
      <c r="H4" s="11" t="n">
        <v>75</v>
      </c>
      <c r="I4" s="11">
        <f>F4*H4</f>
        <v/>
      </c>
      <c r="J4" s="11" t="n">
        <v>4500</v>
      </c>
      <c r="K4" s="11">
        <f>I4-J4</f>
        <v/>
      </c>
      <c r="L4" s="10" t="inlineStr">
        <is>
          <t>Medium</t>
        </is>
      </c>
      <c r="M4" s="10" t="inlineStr">
        <is>
          <t>Monthly retainer - 10 posts/mo</t>
        </is>
      </c>
    </row>
    <row r="5">
      <c r="A5" s="12" t="inlineStr">
        <is>
          <t>Email Campaign Setup</t>
        </is>
      </c>
      <c r="B5" s="12" t="inlineStr">
        <is>
          <t>Sarah Mitchell</t>
        </is>
      </c>
      <c r="C5" s="12" t="inlineStr">
        <is>
          <t>Complete</t>
        </is>
      </c>
      <c r="D5" s="34" t="inlineStr">
        <is>
          <t>2025-10-01</t>
        </is>
      </c>
      <c r="E5" s="34" t="inlineStr">
        <is>
          <t>2025-12-15</t>
        </is>
      </c>
      <c r="F5" s="12" t="n">
        <v>30</v>
      </c>
      <c r="G5" s="12" t="n">
        <v>28</v>
      </c>
      <c r="H5" s="13" t="n">
        <v>95</v>
      </c>
      <c r="I5" s="13">
        <f>F5*H5</f>
        <v/>
      </c>
      <c r="J5" s="13" t="n">
        <v>2660</v>
      </c>
      <c r="K5" s="13">
        <f>I5-J5</f>
        <v/>
      </c>
      <c r="L5" s="12" t="inlineStr">
        <is>
          <t>Low</t>
        </is>
      </c>
      <c r="M5" s="12" t="inlineStr">
        <is>
          <t>Delivered on time, client happy</t>
        </is>
      </c>
    </row>
  </sheetData>
  <autoFilter ref="A1:M5"/>
  <conditionalFormatting sqref="C2:C200">
    <cfRule type="cellIs" priority="1" operator="equal" dxfId="1">
      <formula>"Active"</formula>
    </cfRule>
    <cfRule type="cellIs" priority="2" operator="equal" dxfId="5">
      <formula>"Complete"</formula>
    </cfRule>
    <cfRule type="cellIs" priority="3" operator="equal" dxfId="2">
      <formula>"Proposal"</formula>
    </cfRule>
    <cfRule type="cellIs" priority="4" operator="equal" dxfId="3">
      <formula>"Cancelled"</formula>
    </cfRule>
    <cfRule type="cellIs" priority="5" operator="equal" dxfId="6">
      <formula>"Lead"</formula>
    </cfRule>
  </conditionalFormatting>
  <conditionalFormatting sqref="L2:L200">
    <cfRule type="cellIs" priority="6" operator="equal" dxfId="7">
      <formula>"High"</formula>
    </cfRule>
    <cfRule type="cellIs" priority="7" operator="equal" dxfId="8">
      <formula>"Medium"</formula>
    </cfRule>
    <cfRule type="cellIs" priority="8" operator="equal" dxfId="9">
      <formula>"Low"</formula>
    </cfRule>
  </conditionalFormatting>
  <conditionalFormatting sqref="E2:E200">
    <cfRule type="expression" priority="9" dxfId="7">
      <formula>AND(E2&lt;&gt;"",E2&lt;TODAY(),C2&lt;&gt;"Complete",C2&lt;&gt;"Cancelled")</formula>
    </cfRule>
  </conditionalFormatting>
  <dataValidations count="3">
    <dataValidation sqref="C2:C200" showDropDown="0" showInputMessage="0" showErrorMessage="0" allowBlank="1" type="list">
      <formula1>"Lead,Proposal,Active,Review,Complete,Cancelled"</formula1>
    </dataValidation>
    <dataValidation sqref="L2:L200" showDropDown="0" showInputMessage="0" showErrorMessage="0" allowBlank="1" type="list">
      <formula1>"High,Medium,Low"</formula1>
    </dataValidation>
    <dataValidation sqref="B2:B200" showDropDown="0" showInputMessage="0" showErrorMessage="0" allowBlank="1" type="list">
      <formula1>='Client CRM'!$A$2:$A$200</formula1>
    </dataValidation>
  </dataValidations>
  <pageMargins left="0.75" right="0.75" top="1" bottom="1" header="0.5" footer="0.5"/>
</worksheet>
</file>

<file path=xl/worksheets/sheet4.xml><?xml version="1.0" encoding="utf-8"?>
<worksheet xmlns="http://schemas.openxmlformats.org/spreadsheetml/2006/main">
  <sheetPr>
    <tabColor rgb="00D69E2E"/>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2" customWidth="1" min="3" max="3"/>
    <col width="14" customWidth="1" min="4" max="4"/>
    <col width="14" customWidth="1" min="5" max="5"/>
    <col width="14" customWidth="1" min="6" max="6"/>
    <col width="12" customWidth="1" min="7" max="7"/>
    <col width="14" customWidth="1" min="8" max="8"/>
    <col width="16" customWidth="1" min="9" max="9"/>
    <col width="12" customWidth="1" min="10" max="10"/>
    <col width="10" customWidth="1" min="11" max="11"/>
    <col width="25" customWidth="1" min="12" max="12"/>
  </cols>
  <sheetData>
    <row r="1">
      <c r="A1" s="32" t="inlineStr">
        <is>
          <t>Invoice #</t>
        </is>
      </c>
      <c r="B1" s="32" t="inlineStr">
        <is>
          <t>Client</t>
        </is>
      </c>
      <c r="C1" s="32" t="inlineStr">
        <is>
          <t>Project</t>
        </is>
      </c>
      <c r="D1" s="32" t="inlineStr">
        <is>
          <t>Date Sent</t>
        </is>
      </c>
      <c r="E1" s="32" t="inlineStr">
        <is>
          <t>Due Date</t>
        </is>
      </c>
      <c r="F1" s="32" t="inlineStr">
        <is>
          <t>Amount</t>
        </is>
      </c>
      <c r="G1" s="32" t="inlineStr">
        <is>
          <t>Status</t>
        </is>
      </c>
      <c r="H1" s="32" t="inlineStr">
        <is>
          <t>Payment Date</t>
        </is>
      </c>
      <c r="I1" s="32" t="inlineStr">
        <is>
          <t>Payment Method</t>
        </is>
      </c>
      <c r="J1" s="32" t="inlineStr">
        <is>
          <t>Days to Pay</t>
        </is>
      </c>
      <c r="K1" s="32" t="inlineStr">
        <is>
          <t>Late Fee</t>
        </is>
      </c>
      <c r="L1" s="32" t="inlineStr">
        <is>
          <t>Notes</t>
        </is>
      </c>
    </row>
    <row r="2">
      <c r="A2" s="10" t="inlineStr">
        <is>
          <t>INV-2026-001</t>
        </is>
      </c>
      <c r="B2" s="10" t="inlineStr">
        <is>
          <t>Sarah Mitchell</t>
        </is>
      </c>
      <c r="C2" s="10" t="inlineStr">
        <is>
          <t>Website Redesign</t>
        </is>
      </c>
      <c r="D2" s="33" t="inlineStr">
        <is>
          <t>2026-01-20</t>
        </is>
      </c>
      <c r="E2" s="33" t="inlineStr">
        <is>
          <t>2026-02-19</t>
        </is>
      </c>
      <c r="F2" s="11" t="n">
        <v>3800</v>
      </c>
      <c r="G2" s="10" t="inlineStr">
        <is>
          <t>Paid</t>
        </is>
      </c>
      <c r="H2" s="33" t="inlineStr">
        <is>
          <t>2026-02-15</t>
        </is>
      </c>
      <c r="I2" s="10" t="inlineStr">
        <is>
          <t>Bank Transfer</t>
        </is>
      </c>
      <c r="J2" s="10">
        <f>IF(H2&lt;&gt;"",H2-D2,IF(G2="Paid","",TODAY()-D2))</f>
        <v/>
      </c>
      <c r="K2" s="11" t="n">
        <v>0</v>
      </c>
      <c r="L2" s="10" t="inlineStr">
        <is>
          <t>Deposit - 50%</t>
        </is>
      </c>
    </row>
    <row r="3">
      <c r="A3" s="12" t="inlineStr">
        <is>
          <t>INV-2026-002</t>
        </is>
      </c>
      <c r="B3" s="12" t="inlineStr">
        <is>
          <t>David Chen</t>
        </is>
      </c>
      <c r="C3" s="12" t="inlineStr">
        <is>
          <t>Legal Blog Content</t>
        </is>
      </c>
      <c r="D3" s="34" t="inlineStr">
        <is>
          <t>2026-02-01</t>
        </is>
      </c>
      <c r="E3" s="34" t="inlineStr">
        <is>
          <t>2026-03-03</t>
        </is>
      </c>
      <c r="F3" s="13" t="n">
        <v>2250</v>
      </c>
      <c r="G3" s="12" t="inlineStr">
        <is>
          <t>Paid</t>
        </is>
      </c>
      <c r="H3" s="34" t="inlineStr">
        <is>
          <t>2026-03-01</t>
        </is>
      </c>
      <c r="I3" s="12" t="inlineStr">
        <is>
          <t>PayPal</t>
        </is>
      </c>
      <c r="J3" s="12">
        <f>IF(H3&lt;&gt;"",H3-D3,IF(G3="Paid","",TODAY()-D3))</f>
        <v/>
      </c>
      <c r="K3" s="13" t="n">
        <v>0</v>
      </c>
      <c r="L3" s="12" t="inlineStr">
        <is>
          <t>Feb retainer</t>
        </is>
      </c>
    </row>
    <row r="4">
      <c r="A4" s="10" t="inlineStr">
        <is>
          <t>INV-2026-003</t>
        </is>
      </c>
      <c r="B4" s="10" t="inlineStr">
        <is>
          <t>David Chen</t>
        </is>
      </c>
      <c r="C4" s="10" t="inlineStr">
        <is>
          <t>Legal Blog Content</t>
        </is>
      </c>
      <c r="D4" s="33" t="inlineStr">
        <is>
          <t>2026-03-01</t>
        </is>
      </c>
      <c r="E4" s="33" t="inlineStr">
        <is>
          <t>2026-03-31</t>
        </is>
      </c>
      <c r="F4" s="11" t="n">
        <v>2250</v>
      </c>
      <c r="G4" s="10" t="inlineStr">
        <is>
          <t>Sent</t>
        </is>
      </c>
      <c r="H4" s="33" t="inlineStr"/>
      <c r="I4" s="10" t="inlineStr"/>
      <c r="J4" s="10">
        <f>IF(H4&lt;&gt;"",H4-D4,IF(G4="Paid","",TODAY()-D4))</f>
        <v/>
      </c>
      <c r="K4" s="11" t="n">
        <v>0</v>
      </c>
      <c r="L4" s="10" t="inlineStr">
        <is>
          <t>Mar retainer</t>
        </is>
      </c>
    </row>
    <row r="5">
      <c r="A5" s="12" t="inlineStr">
        <is>
          <t>INV-2026-004</t>
        </is>
      </c>
      <c r="B5" s="12" t="inlineStr">
        <is>
          <t>Sarah Mitchell</t>
        </is>
      </c>
      <c r="C5" s="12" t="inlineStr">
        <is>
          <t>Website Redesign</t>
        </is>
      </c>
      <c r="D5" s="34" t="inlineStr">
        <is>
          <t>2026-03-15</t>
        </is>
      </c>
      <c r="E5" s="34" t="inlineStr">
        <is>
          <t>2026-04-14</t>
        </is>
      </c>
      <c r="F5" s="13" t="n">
        <v>3800</v>
      </c>
      <c r="G5" s="12" t="inlineStr">
        <is>
          <t>Sent</t>
        </is>
      </c>
      <c r="H5" s="34" t="inlineStr"/>
      <c r="I5" s="12" t="inlineStr"/>
      <c r="J5" s="12">
        <f>IF(H5&lt;&gt;"",H5-D5,IF(G5="Paid","",TODAY()-D5))</f>
        <v/>
      </c>
      <c r="K5" s="13" t="n">
        <v>0</v>
      </c>
      <c r="L5" s="12" t="inlineStr">
        <is>
          <t>Final 50%</t>
        </is>
      </c>
    </row>
    <row r="6">
      <c r="A6" s="10" t="inlineStr">
        <is>
          <t>INV-2026-005</t>
        </is>
      </c>
      <c r="B6" s="10" t="inlineStr">
        <is>
          <t>Sarah Mitchell</t>
        </is>
      </c>
      <c r="C6" s="10" t="inlineStr">
        <is>
          <t>Email Campaign Setup</t>
        </is>
      </c>
      <c r="D6" s="33" t="inlineStr">
        <is>
          <t>2025-12-18</t>
        </is>
      </c>
      <c r="E6" s="33" t="inlineStr">
        <is>
          <t>2026-01-17</t>
        </is>
      </c>
      <c r="F6" s="11" t="n">
        <v>2660</v>
      </c>
      <c r="G6" s="10" t="inlineStr">
        <is>
          <t>Paid</t>
        </is>
      </c>
      <c r="H6" s="33" t="inlineStr">
        <is>
          <t>2026-01-20</t>
        </is>
      </c>
      <c r="I6" s="10" t="inlineStr">
        <is>
          <t>Stripe</t>
        </is>
      </c>
      <c r="J6" s="10">
        <f>IF(H6&lt;&gt;"",H6-D6,IF(G6="Paid","",TODAY()-D6))</f>
        <v/>
      </c>
      <c r="K6" s="11" t="n">
        <v>0</v>
      </c>
      <c r="L6" s="10" t="inlineStr">
        <is>
          <t>Final payment</t>
        </is>
      </c>
    </row>
    <row r="8">
      <c r="A8" s="35" t="inlineStr">
        <is>
          <t>SUMMARY</t>
        </is>
      </c>
    </row>
    <row r="9">
      <c r="A9" s="36" t="inlineStr">
        <is>
          <t>Total Invoiced:</t>
        </is>
      </c>
      <c r="B9" s="37">
        <f>SUM(F2:F6)</f>
        <v/>
      </c>
    </row>
    <row r="10">
      <c r="A10" s="36" t="inlineStr">
        <is>
          <t>Total Paid:</t>
        </is>
      </c>
      <c r="B10" s="37">
        <f>SUMIF(G2:G6,"Paid",F2:F6)</f>
        <v/>
      </c>
    </row>
    <row r="11">
      <c r="A11" s="36" t="inlineStr">
        <is>
          <t>Total Outstanding:</t>
        </is>
      </c>
      <c r="B11" s="37">
        <f>SUMIF(G2:G6,"Sent",F2:F6)</f>
        <v/>
      </c>
    </row>
    <row r="12">
      <c r="A12" s="36" t="inlineStr">
        <is>
          <t>Total Overdue:</t>
        </is>
      </c>
      <c r="B12" s="37">
        <f>SUMIF(G2:G6,"Overdue",F2:F6)</f>
        <v/>
      </c>
    </row>
  </sheetData>
  <conditionalFormatting sqref="G2:G200">
    <cfRule type="cellIs" priority="1" operator="equal" dxfId="1">
      <formula>"Paid"</formula>
    </cfRule>
    <cfRule type="cellIs" priority="2" operator="equal" dxfId="5">
      <formula>"Sent"</formula>
    </cfRule>
    <cfRule type="cellIs" priority="3" operator="equal" dxfId="7">
      <formula>"Overdue"</formula>
    </cfRule>
    <cfRule type="cellIs" priority="4" operator="equal" dxfId="4">
      <formula>"Draft"</formula>
    </cfRule>
  </conditionalFormatting>
  <dataValidations count="2">
    <dataValidation sqref="G2:G200" showDropDown="0" showInputMessage="0" showErrorMessage="0" allowBlank="1" type="list">
      <formula1>"Draft,Sent,Paid,Overdue,Cancelled"</formula1>
    </dataValidation>
    <dataValidation sqref="I2:I200" showDropDown="0" showInputMessage="0" showErrorMessage="0" allowBlank="1" type="list">
      <formula1>"Bank Transfer,PayPal,Stripe,Check,Venmo,Zelle,Cash,Other"</formula1>
    </dataValidation>
  </dataValidations>
  <pageMargins left="0.75" right="0.75" top="1" bottom="1" header="0.5" footer="0.5"/>
</worksheet>
</file>

<file path=xl/worksheets/sheet5.xml><?xml version="1.0" encoding="utf-8"?>
<worksheet xmlns="http://schemas.openxmlformats.org/spreadsheetml/2006/main">
  <sheetPr>
    <tabColor rgb="0038A169"/>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cols>
    <col width="14" customWidth="1" min="1" max="1"/>
    <col width="24" customWidth="1" min="2" max="2"/>
    <col width="18" customWidth="1" min="3" max="3"/>
    <col width="14" customWidth="1" min="4" max="4"/>
    <col width="16" customWidth="1" min="5" max="5"/>
    <col width="10" customWidth="1" min="6" max="6"/>
    <col width="28" customWidth="1" min="7" max="7"/>
    <col width="5" customWidth="1" min="8" max="8"/>
  </cols>
  <sheetData>
    <row r="1">
      <c r="A1" s="38" t="inlineStr">
        <is>
          <t>INCOME</t>
        </is>
      </c>
    </row>
    <row r="2">
      <c r="A2" s="32" t="inlineStr">
        <is>
          <t>Date</t>
        </is>
      </c>
      <c r="B2" s="32" t="inlineStr">
        <is>
          <t>Client</t>
        </is>
      </c>
      <c r="C2" s="32" t="inlineStr">
        <is>
          <t>Project</t>
        </is>
      </c>
      <c r="D2" s="32" t="inlineStr">
        <is>
          <t>Category</t>
        </is>
      </c>
      <c r="E2" s="32" t="inlineStr">
        <is>
          <t>Amount</t>
        </is>
      </c>
      <c r="F2" s="32" t="inlineStr">
        <is>
          <t>Payment Method</t>
        </is>
      </c>
      <c r="G2" s="32" t="inlineStr">
        <is>
          <t>Tax Deductible</t>
        </is>
      </c>
    </row>
    <row r="3">
      <c r="A3" s="34" t="inlineStr">
        <is>
          <t>2026-01-15</t>
        </is>
      </c>
      <c r="B3" s="12" t="inlineStr">
        <is>
          <t>Sarah Mitchell</t>
        </is>
      </c>
      <c r="C3" s="12" t="inlineStr">
        <is>
          <t>Website Redesign</t>
        </is>
      </c>
      <c r="D3" s="12" t="inlineStr">
        <is>
          <t>Freelance</t>
        </is>
      </c>
      <c r="E3" s="13" t="n">
        <v>3800</v>
      </c>
      <c r="F3" s="12" t="inlineStr">
        <is>
          <t>Bank Transfer</t>
        </is>
      </c>
      <c r="G3" s="12" t="inlineStr">
        <is>
          <t>No</t>
        </is>
      </c>
    </row>
    <row r="4">
      <c r="A4" s="33" t="inlineStr">
        <is>
          <t>2026-01-20</t>
        </is>
      </c>
      <c r="B4" s="10" t="inlineStr">
        <is>
          <t>David Chen</t>
        </is>
      </c>
      <c r="C4" s="10" t="inlineStr">
        <is>
          <t>Legal Blog Content</t>
        </is>
      </c>
      <c r="D4" s="10" t="inlineStr">
        <is>
          <t>Retainer</t>
        </is>
      </c>
      <c r="E4" s="11" t="n">
        <v>2250</v>
      </c>
      <c r="F4" s="10" t="inlineStr">
        <is>
          <t>PayPal</t>
        </is>
      </c>
      <c r="G4" s="10" t="inlineStr">
        <is>
          <t>No</t>
        </is>
      </c>
    </row>
    <row r="5">
      <c r="A5" s="34" t="inlineStr">
        <is>
          <t>2026-02-01</t>
        </is>
      </c>
      <c r="B5" s="12" t="inlineStr"/>
      <c r="C5" s="12" t="inlineStr">
        <is>
          <t>Online Course Sales</t>
        </is>
      </c>
      <c r="D5" s="12" t="inlineStr">
        <is>
          <t>Passive</t>
        </is>
      </c>
      <c r="E5" s="13" t="n">
        <v>340</v>
      </c>
      <c r="F5" s="12" t="inlineStr">
        <is>
          <t>Stripe</t>
        </is>
      </c>
      <c r="G5" s="12" t="inlineStr">
        <is>
          <t>No</t>
        </is>
      </c>
    </row>
    <row r="6">
      <c r="A6" s="33" t="inlineStr">
        <is>
          <t>2026-02-15</t>
        </is>
      </c>
      <c r="B6" s="10" t="inlineStr">
        <is>
          <t>David Chen</t>
        </is>
      </c>
      <c r="C6" s="10" t="inlineStr">
        <is>
          <t>Legal Blog Content</t>
        </is>
      </c>
      <c r="D6" s="10" t="inlineStr">
        <is>
          <t>Retainer</t>
        </is>
      </c>
      <c r="E6" s="11" t="n">
        <v>2250</v>
      </c>
      <c r="F6" s="10" t="inlineStr">
        <is>
          <t>PayPal</t>
        </is>
      </c>
      <c r="G6" s="10" t="inlineStr">
        <is>
          <t>No</t>
        </is>
      </c>
    </row>
    <row r="7">
      <c r="A7" s="34" t="inlineStr">
        <is>
          <t>2026-02-20</t>
        </is>
      </c>
      <c r="B7" s="12" t="inlineStr">
        <is>
          <t>Sarah Mitchell</t>
        </is>
      </c>
      <c r="C7" s="12" t="inlineStr">
        <is>
          <t>Email Campaign Setup</t>
        </is>
      </c>
      <c r="D7" s="12" t="inlineStr">
        <is>
          <t>Freelance</t>
        </is>
      </c>
      <c r="E7" s="13" t="n">
        <v>2660</v>
      </c>
      <c r="F7" s="12" t="inlineStr">
        <is>
          <t>Stripe</t>
        </is>
      </c>
      <c r="G7" s="12" t="inlineStr">
        <is>
          <t>No</t>
        </is>
      </c>
    </row>
    <row r="8">
      <c r="A8" s="33" t="inlineStr">
        <is>
          <t>2026-03-01</t>
        </is>
      </c>
      <c r="B8" s="10" t="inlineStr"/>
      <c r="C8" s="10" t="inlineStr">
        <is>
          <t>Online Course Sales</t>
        </is>
      </c>
      <c r="D8" s="10" t="inlineStr">
        <is>
          <t>Passive</t>
        </is>
      </c>
      <c r="E8" s="11" t="n">
        <v>415</v>
      </c>
      <c r="F8" s="10" t="inlineStr">
        <is>
          <t>Stripe</t>
        </is>
      </c>
      <c r="G8" s="10" t="inlineStr">
        <is>
          <t>No</t>
        </is>
      </c>
    </row>
    <row r="9">
      <c r="A9" s="34" t="inlineStr">
        <is>
          <t>2026-03-05</t>
        </is>
      </c>
      <c r="B9" s="12" t="inlineStr">
        <is>
          <t>David Chen</t>
        </is>
      </c>
      <c r="C9" s="12" t="inlineStr">
        <is>
          <t>Legal Blog Content</t>
        </is>
      </c>
      <c r="D9" s="12" t="inlineStr">
        <is>
          <t>Retainer</t>
        </is>
      </c>
      <c r="E9" s="13" t="n">
        <v>2250</v>
      </c>
      <c r="F9" s="12" t="inlineStr">
        <is>
          <t>PayPal</t>
        </is>
      </c>
      <c r="G9" s="12" t="inlineStr">
        <is>
          <t>No</t>
        </is>
      </c>
    </row>
    <row r="10">
      <c r="A10" s="33" t="inlineStr">
        <is>
          <t>2026-03-10</t>
        </is>
      </c>
      <c r="B10" s="10" t="inlineStr">
        <is>
          <t>Maria Rodriguez</t>
        </is>
      </c>
      <c r="C10" s="10" t="inlineStr">
        <is>
          <t>Brand Consultation</t>
        </is>
      </c>
      <c r="D10" s="10" t="inlineStr">
        <is>
          <t>Consultation</t>
        </is>
      </c>
      <c r="E10" s="11" t="n">
        <v>250</v>
      </c>
      <c r="F10" s="10" t="inlineStr">
        <is>
          <t>Venmo</t>
        </is>
      </c>
      <c r="G10" s="10" t="inlineStr">
        <is>
          <t>No</t>
        </is>
      </c>
    </row>
    <row r="12">
      <c r="D12" s="36" t="inlineStr">
        <is>
          <t>Total Income:</t>
        </is>
      </c>
      <c r="E12" s="39">
        <f>SUM(E3:E10)</f>
        <v/>
      </c>
    </row>
    <row r="14">
      <c r="A14" s="40" t="inlineStr">
        <is>
          <t>EXPENSES</t>
        </is>
      </c>
    </row>
    <row r="15">
      <c r="A15" s="32" t="inlineStr">
        <is>
          <t>Date</t>
        </is>
      </c>
      <c r="B15" s="32" t="inlineStr">
        <is>
          <t>Vendor</t>
        </is>
      </c>
      <c r="C15" s="32" t="inlineStr">
        <is>
          <t>Category</t>
        </is>
      </c>
      <c r="D15" s="32" t="inlineStr">
        <is>
          <t>Amount</t>
        </is>
      </c>
      <c r="E15" s="32" t="inlineStr">
        <is>
          <t>Tax Deductible</t>
        </is>
      </c>
      <c r="F15" s="32" t="inlineStr">
        <is>
          <t>Receipt</t>
        </is>
      </c>
      <c r="G15" s="32" t="inlineStr">
        <is>
          <t>Notes</t>
        </is>
      </c>
      <c r="H15" t="inlineStr"/>
    </row>
    <row r="16">
      <c r="A16" s="33" t="inlineStr">
        <is>
          <t>2026-01-05</t>
        </is>
      </c>
      <c r="B16" s="10" t="inlineStr">
        <is>
          <t>Adobe</t>
        </is>
      </c>
      <c r="C16" s="10" t="inlineStr">
        <is>
          <t>Software</t>
        </is>
      </c>
      <c r="D16" s="11" t="n">
        <v>54.99</v>
      </c>
      <c r="E16" s="10" t="inlineStr">
        <is>
          <t>Yes</t>
        </is>
      </c>
      <c r="F16" s="10" t="inlineStr">
        <is>
          <t>Yes</t>
        </is>
      </c>
      <c r="G16" s="10" t="inlineStr">
        <is>
          <t>Creative Cloud monthly</t>
        </is>
      </c>
    </row>
    <row r="17">
      <c r="A17" s="34" t="inlineStr">
        <is>
          <t>2026-01-05</t>
        </is>
      </c>
      <c r="B17" s="12" t="inlineStr">
        <is>
          <t>Notion</t>
        </is>
      </c>
      <c r="C17" s="12" t="inlineStr">
        <is>
          <t>Software</t>
        </is>
      </c>
      <c r="D17" s="13" t="n">
        <v>10</v>
      </c>
      <c r="E17" s="12" t="inlineStr">
        <is>
          <t>Yes</t>
        </is>
      </c>
      <c r="F17" s="12" t="inlineStr">
        <is>
          <t>Yes</t>
        </is>
      </c>
      <c r="G17" s="12" t="inlineStr">
        <is>
          <t>Workspace Pro</t>
        </is>
      </c>
    </row>
    <row r="18">
      <c r="A18" s="33" t="inlineStr">
        <is>
          <t>2026-01-10</t>
        </is>
      </c>
      <c r="B18" s="10" t="inlineStr">
        <is>
          <t>WeWork</t>
        </is>
      </c>
      <c r="C18" s="10" t="inlineStr">
        <is>
          <t>Office</t>
        </is>
      </c>
      <c r="D18" s="11" t="n">
        <v>350</v>
      </c>
      <c r="E18" s="10" t="inlineStr">
        <is>
          <t>Yes</t>
        </is>
      </c>
      <c r="F18" s="10" t="inlineStr">
        <is>
          <t>Yes</t>
        </is>
      </c>
      <c r="G18" s="10" t="inlineStr">
        <is>
          <t>Hot desk membership</t>
        </is>
      </c>
    </row>
    <row r="19">
      <c r="A19" s="34" t="inlineStr">
        <is>
          <t>2026-01-15</t>
        </is>
      </c>
      <c r="B19" s="12" t="inlineStr">
        <is>
          <t>Google Ads</t>
        </is>
      </c>
      <c r="C19" s="12" t="inlineStr">
        <is>
          <t>Marketing</t>
        </is>
      </c>
      <c r="D19" s="13" t="n">
        <v>150</v>
      </c>
      <c r="E19" s="12" t="inlineStr">
        <is>
          <t>Yes</t>
        </is>
      </c>
      <c r="F19" s="12" t="inlineStr">
        <is>
          <t>Yes</t>
        </is>
      </c>
      <c r="G19" s="12" t="inlineStr">
        <is>
          <t>Portfolio promotion</t>
        </is>
      </c>
    </row>
    <row r="20">
      <c r="A20" s="33" t="inlineStr">
        <is>
          <t>2026-02-01</t>
        </is>
      </c>
      <c r="B20" s="10" t="inlineStr">
        <is>
          <t>Udemy</t>
        </is>
      </c>
      <c r="C20" s="10" t="inlineStr">
        <is>
          <t>Education</t>
        </is>
      </c>
      <c r="D20" s="11" t="n">
        <v>89.98999999999999</v>
      </c>
      <c r="E20" s="10" t="inlineStr">
        <is>
          <t>Yes</t>
        </is>
      </c>
      <c r="F20" s="10" t="inlineStr">
        <is>
          <t>Yes</t>
        </is>
      </c>
      <c r="G20" s="10" t="inlineStr">
        <is>
          <t>Advanced UX course</t>
        </is>
      </c>
    </row>
    <row r="21">
      <c r="A21" s="34" t="inlineStr">
        <is>
          <t>2026-02-05</t>
        </is>
      </c>
      <c r="B21" s="12" t="inlineStr">
        <is>
          <t>Adobe</t>
        </is>
      </c>
      <c r="C21" s="12" t="inlineStr">
        <is>
          <t>Software</t>
        </is>
      </c>
      <c r="D21" s="13" t="n">
        <v>54.99</v>
      </c>
      <c r="E21" s="12" t="inlineStr">
        <is>
          <t>Yes</t>
        </is>
      </c>
      <c r="F21" s="12" t="inlineStr">
        <is>
          <t>Yes</t>
        </is>
      </c>
      <c r="G21" s="12" t="inlineStr">
        <is>
          <t>Creative Cloud monthly</t>
        </is>
      </c>
    </row>
    <row r="22">
      <c r="A22" s="33" t="inlineStr">
        <is>
          <t>2026-02-10</t>
        </is>
      </c>
      <c r="B22" s="10" t="inlineStr">
        <is>
          <t>WeWork</t>
        </is>
      </c>
      <c r="C22" s="10" t="inlineStr">
        <is>
          <t>Office</t>
        </is>
      </c>
      <c r="D22" s="11" t="n">
        <v>350</v>
      </c>
      <c r="E22" s="10" t="inlineStr">
        <is>
          <t>Yes</t>
        </is>
      </c>
      <c r="F22" s="10" t="inlineStr">
        <is>
          <t>Yes</t>
        </is>
      </c>
      <c r="G22" s="10" t="inlineStr">
        <is>
          <t>Hot desk membership</t>
        </is>
      </c>
    </row>
    <row r="23">
      <c r="A23" s="34" t="inlineStr">
        <is>
          <t>2026-02-20</t>
        </is>
      </c>
      <c r="B23" s="12" t="inlineStr">
        <is>
          <t>Delta Airlines</t>
        </is>
      </c>
      <c r="C23" s="12" t="inlineStr">
        <is>
          <t>Travel</t>
        </is>
      </c>
      <c r="D23" s="13" t="n">
        <v>380</v>
      </c>
      <c r="E23" s="12" t="inlineStr">
        <is>
          <t>Yes</t>
        </is>
      </c>
      <c r="F23" s="12" t="inlineStr">
        <is>
          <t>Yes</t>
        </is>
      </c>
      <c r="G23" s="12" t="inlineStr">
        <is>
          <t>Client meeting - NYC</t>
        </is>
      </c>
    </row>
    <row r="24">
      <c r="A24" s="33" t="inlineStr">
        <is>
          <t>2026-03-01</t>
        </is>
      </c>
      <c r="B24" s="10" t="inlineStr">
        <is>
          <t>Professional Liability Ins.</t>
        </is>
      </c>
      <c r="C24" s="10" t="inlineStr">
        <is>
          <t>Insurance</t>
        </is>
      </c>
      <c r="D24" s="11" t="n">
        <v>125</v>
      </c>
      <c r="E24" s="10" t="inlineStr">
        <is>
          <t>Yes</t>
        </is>
      </c>
      <c r="F24" s="10" t="inlineStr">
        <is>
          <t>Yes</t>
        </is>
      </c>
      <c r="G24" s="10" t="inlineStr">
        <is>
          <t>Monthly premium</t>
        </is>
      </c>
    </row>
    <row r="25">
      <c r="A25" s="34" t="inlineStr">
        <is>
          <t>2026-03-05</t>
        </is>
      </c>
      <c r="B25" s="12" t="inlineStr">
        <is>
          <t>Adobe</t>
        </is>
      </c>
      <c r="C25" s="12" t="inlineStr">
        <is>
          <t>Software</t>
        </is>
      </c>
      <c r="D25" s="13" t="n">
        <v>54.99</v>
      </c>
      <c r="E25" s="12" t="inlineStr">
        <is>
          <t>Yes</t>
        </is>
      </c>
      <c r="F25" s="12" t="inlineStr">
        <is>
          <t>Yes</t>
        </is>
      </c>
      <c r="G25" s="12" t="inlineStr">
        <is>
          <t>Creative Cloud monthly</t>
        </is>
      </c>
    </row>
    <row r="26">
      <c r="C26" s="36" t="inlineStr">
        <is>
          <t>Total Expenses:</t>
        </is>
      </c>
      <c r="D26" s="41">
        <f>SUM(D16:D25)</f>
        <v/>
      </c>
    </row>
    <row r="27">
      <c r="C27" s="36" t="inlineStr">
        <is>
          <t>Tax Deductible:</t>
        </is>
      </c>
      <c r="D27" s="42">
        <f>SUMIF(E16:E25,"Yes",D16:D25)</f>
        <v/>
      </c>
    </row>
    <row r="29">
      <c r="A29" s="43" t="inlineStr">
        <is>
          <t>PROFIT / LOSS</t>
        </is>
      </c>
    </row>
    <row r="30">
      <c r="A30" s="36" t="inlineStr">
        <is>
          <t>Total Income:</t>
        </is>
      </c>
      <c r="B30" s="42">
        <f>E12</f>
        <v/>
      </c>
    </row>
    <row r="31">
      <c r="A31" s="36" t="inlineStr">
        <is>
          <t>Total Expenses:</t>
        </is>
      </c>
      <c r="B31" s="42">
        <f>D26</f>
        <v/>
      </c>
    </row>
    <row r="32">
      <c r="A32" s="44" t="inlineStr">
        <is>
          <t>Net Profit:</t>
        </is>
      </c>
      <c r="B32" s="45">
        <f>B30-B31</f>
        <v/>
      </c>
    </row>
  </sheetData>
  <mergeCells count="3">
    <mergeCell ref="A29:D29"/>
    <mergeCell ref="A14:H14"/>
    <mergeCell ref="A1:G1"/>
  </mergeCells>
  <dataValidations count="5">
    <dataValidation sqref="D3:D200" showDropDown="0" showInputMessage="0" showErrorMessage="0" allowBlank="1" type="list">
      <formula1>"Freelance,Retainer,Passive,Consultation"</formula1>
    </dataValidation>
    <dataValidation sqref="G3:G200" showDropDown="0" showInputMessage="0" showErrorMessage="0" allowBlank="1" type="list">
      <formula1>"Yes,No"</formula1>
    </dataValidation>
    <dataValidation sqref="C16:C215" showDropDown="0" showInputMessage="0" showErrorMessage="0" allowBlank="1" type="list">
      <formula1>"Software,Hardware,Office,Marketing,Travel,Education,Insurance,Professional Services,Other"</formula1>
    </dataValidation>
    <dataValidation sqref="E16:E215" showDropDown="0" showInputMessage="0" showErrorMessage="0" allowBlank="1" type="list">
      <formula1>"Yes,No"</formula1>
    </dataValidation>
    <dataValidation sqref="F16:F215"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805AD5"/>
    <outlinePr summaryBelow="1" summaryRight="1"/>
    <pageSetUpPr/>
  </sheetPr>
  <dimension ref="A1:F34"/>
  <sheetViews>
    <sheetView workbookViewId="0">
      <selection activeCell="A1" sqref="A1"/>
    </sheetView>
  </sheetViews>
  <sheetFormatPr baseColWidth="8" defaultRowHeight="15"/>
  <cols>
    <col width="30" customWidth="1" min="1" max="1"/>
    <col width="20" customWidth="1" min="2" max="2"/>
    <col width="20" customWidth="1" min="3" max="3"/>
    <col width="16" customWidth="1" min="4" max="4"/>
    <col width="16" customWidth="1" min="5" max="5"/>
    <col width="18" customWidth="1" min="6" max="6"/>
  </cols>
  <sheetData>
    <row r="1" ht="40" customHeight="1">
      <c r="A1" s="46" t="inlineStr">
        <is>
          <t>FREELANCE RATE CALCULATOR</t>
        </is>
      </c>
    </row>
    <row r="3">
      <c r="A3" s="3" t="inlineStr">
        <is>
          <t>YOUR INPUTS</t>
        </is>
      </c>
    </row>
    <row r="4">
      <c r="A4" s="7" t="inlineStr">
        <is>
          <t>Desired Annual Income</t>
        </is>
      </c>
      <c r="C4" s="47" t="n">
        <v>75000</v>
      </c>
    </row>
    <row r="5">
      <c r="A5" s="7" t="inlineStr">
        <is>
          <t>Working Weeks / Year</t>
        </is>
      </c>
      <c r="C5" s="48" t="n">
        <v>48</v>
      </c>
    </row>
    <row r="6">
      <c r="A6" s="7" t="inlineStr">
        <is>
          <t>Billable Hours / Week</t>
        </is>
      </c>
      <c r="C6" s="48" t="n">
        <v>30</v>
      </c>
    </row>
    <row r="7">
      <c r="A7" s="7" t="inlineStr">
        <is>
          <t>Annual Business Expenses</t>
        </is>
      </c>
      <c r="C7" s="47" t="n">
        <v>12000</v>
      </c>
    </row>
    <row r="8">
      <c r="A8" s="7" t="inlineStr">
        <is>
          <t>Tax Rate</t>
        </is>
      </c>
      <c r="C8" s="49" t="n">
        <v>0.25</v>
      </c>
    </row>
    <row r="9">
      <c r="A9" s="7" t="inlineStr">
        <is>
          <t>Desired Profit Margin</t>
        </is>
      </c>
      <c r="C9" s="49" t="n">
        <v>0.15</v>
      </c>
    </row>
    <row r="12">
      <c r="A12" s="6" t="inlineStr">
        <is>
          <t>CALCULATED RATES</t>
        </is>
      </c>
    </row>
    <row r="13">
      <c r="A13" s="7" t="inlineStr">
        <is>
          <t>Required Revenue (pre-tax)</t>
        </is>
      </c>
      <c r="C13" s="50">
        <f>(C4+C7)/(1-C8)</f>
        <v/>
      </c>
    </row>
    <row r="14">
      <c r="A14" s="7" t="inlineStr">
        <is>
          <t>Billable Hours / Year</t>
        </is>
      </c>
      <c r="C14" s="51">
        <f>C5*C6</f>
        <v/>
      </c>
    </row>
    <row r="15">
      <c r="A15" s="7" t="inlineStr">
        <is>
          <t>Minimum Hourly Rate</t>
        </is>
      </c>
      <c r="C15" s="50">
        <f>C13/C14</f>
        <v/>
      </c>
    </row>
    <row r="16">
      <c r="A16" s="7" t="inlineStr">
        <is>
          <t>Suggested Hourly Rate (with margin)</t>
        </is>
      </c>
      <c r="C16" s="50">
        <f>C15*(1+C9)</f>
        <v/>
      </c>
    </row>
    <row r="17">
      <c r="A17" s="7" t="inlineStr">
        <is>
          <t>Day Rate (8 hrs)</t>
        </is>
      </c>
      <c r="C17" s="50">
        <f>C16*8</f>
        <v/>
      </c>
    </row>
    <row r="18">
      <c r="A18" s="7" t="inlineStr">
        <is>
          <t>Weekly Rate</t>
        </is>
      </c>
      <c r="C18" s="50">
        <f>C16*C6</f>
        <v/>
      </c>
    </row>
    <row r="19">
      <c r="A19" s="7" t="inlineStr">
        <is>
          <t>Monthly Retainer Rate</t>
        </is>
      </c>
      <c r="C19" s="50">
        <f>C16*C6*4.33</f>
        <v/>
      </c>
    </row>
    <row r="22">
      <c r="A22" s="22" t="inlineStr">
        <is>
          <t>RATE COMPARISON BY UTILIZATION</t>
        </is>
      </c>
    </row>
    <row r="23">
      <c r="A23" s="32" t="inlineStr">
        <is>
          <t>Utilization Rate</t>
        </is>
      </c>
      <c r="B23" s="32" t="inlineStr">
        <is>
          <t>Billable Hours/Year</t>
        </is>
      </c>
      <c r="C23" s="32" t="inlineStr">
        <is>
          <t>Hourly Rate</t>
        </is>
      </c>
      <c r="D23" s="32" t="inlineStr">
        <is>
          <t>Day Rate</t>
        </is>
      </c>
      <c r="E23" s="32" t="inlineStr">
        <is>
          <t>Weekly Rate</t>
        </is>
      </c>
      <c r="F23" s="32" t="inlineStr">
        <is>
          <t>Monthly Retainer</t>
        </is>
      </c>
    </row>
    <row r="24">
      <c r="A24" s="14" t="n">
        <v>0.6</v>
      </c>
      <c r="B24" s="52">
        <f>C5*C6*A24</f>
        <v/>
      </c>
      <c r="C24" s="20">
        <f>C13/B24</f>
        <v/>
      </c>
      <c r="D24" s="20">
        <f>C24*8</f>
        <v/>
      </c>
      <c r="E24" s="20">
        <f>C24*C6</f>
        <v/>
      </c>
      <c r="F24" s="20">
        <f>C24*C6*4.33</f>
        <v/>
      </c>
    </row>
    <row r="25">
      <c r="A25" s="53" t="n">
        <v>0.7</v>
      </c>
      <c r="B25" s="52">
        <f>C5*C6*A25</f>
        <v/>
      </c>
      <c r="C25" s="20">
        <f>C13/B25</f>
        <v/>
      </c>
      <c r="D25" s="20">
        <f>C25*8</f>
        <v/>
      </c>
      <c r="E25" s="20">
        <f>C25*C6</f>
        <v/>
      </c>
      <c r="F25" s="20">
        <f>C25*C6*4.33</f>
        <v/>
      </c>
    </row>
    <row r="26">
      <c r="A26" s="14" t="n">
        <v>0.8</v>
      </c>
      <c r="B26" s="52">
        <f>C5*C6*A26</f>
        <v/>
      </c>
      <c r="C26" s="20">
        <f>C13/B26</f>
        <v/>
      </c>
      <c r="D26" s="20">
        <f>C26*8</f>
        <v/>
      </c>
      <c r="E26" s="20">
        <f>C26*C6</f>
        <v/>
      </c>
      <c r="F26" s="20">
        <f>C26*C6*4.33</f>
        <v/>
      </c>
    </row>
    <row r="27">
      <c r="A27" s="53" t="n">
        <v>0.9</v>
      </c>
      <c r="B27" s="52">
        <f>C5*C6*A27</f>
        <v/>
      </c>
      <c r="C27" s="20">
        <f>C13/B27</f>
        <v/>
      </c>
      <c r="D27" s="20">
        <f>C27*8</f>
        <v/>
      </c>
      <c r="E27" s="20">
        <f>C27*C6</f>
        <v/>
      </c>
      <c r="F27" s="20">
        <f>C27*C6*4.33</f>
        <v/>
      </c>
    </row>
    <row r="30">
      <c r="A30" s="54" t="inlineStr">
        <is>
          <t>WHAT-IF SCENARIOS</t>
        </is>
      </c>
    </row>
    <row r="31">
      <c r="A31" s="36" t="inlineStr">
        <is>
          <t>If I raise my rate by:</t>
        </is>
      </c>
      <c r="C31" s="55" t="n">
        <v>10</v>
      </c>
    </row>
    <row r="32">
      <c r="A32" s="36" t="inlineStr">
        <is>
          <t>New hourly rate:</t>
        </is>
      </c>
      <c r="C32" s="42">
        <f>C16+C31</f>
        <v/>
      </c>
    </row>
    <row r="33">
      <c r="A33" s="36" t="inlineStr">
        <is>
          <t>Additional annual income:</t>
        </is>
      </c>
      <c r="C33" s="42">
        <f>C31*C14</f>
        <v/>
      </c>
    </row>
    <row r="34">
      <c r="A34" s="36" t="inlineStr">
        <is>
          <t>New annual revenue:</t>
        </is>
      </c>
      <c r="C34" s="42">
        <f>C32*C14</f>
        <v/>
      </c>
    </row>
  </sheetData>
  <mergeCells count="5">
    <mergeCell ref="A1:F1"/>
    <mergeCell ref="A22:F22"/>
    <mergeCell ref="A3:C3"/>
    <mergeCell ref="A12:C12"/>
    <mergeCell ref="A30:F30"/>
  </mergeCells>
  <pageMargins left="0.75" right="0.75" top="1" bottom="1" header="0.5" footer="0.5"/>
</worksheet>
</file>

<file path=xl/worksheets/sheet7.xml><?xml version="1.0" encoding="utf-8"?>
<worksheet xmlns="http://schemas.openxmlformats.org/spreadsheetml/2006/main">
  <sheetPr>
    <tabColor rgb="001A365D"/>
    <outlinePr summaryBelow="1" summaryRight="1"/>
    <pageSetUpPr/>
  </sheetPr>
  <dimension ref="A1:F44"/>
  <sheetViews>
    <sheetView workbookViewId="0">
      <selection activeCell="A1" sqref="A1"/>
    </sheetView>
  </sheetViews>
  <sheetFormatPr baseColWidth="8" defaultRowHeight="15"/>
  <cols>
    <col width="6" customWidth="1" min="1" max="1"/>
    <col width="22" customWidth="1" min="2" max="2"/>
    <col width="40" customWidth="1" min="3" max="3"/>
    <col width="14" customWidth="1" min="4" max="4"/>
    <col width="14" customWidth="1" min="5" max="5"/>
    <col width="14" customWidth="1" min="6" max="6"/>
  </cols>
  <sheetData>
    <row r="1" ht="50" customHeight="1">
      <c r="A1" s="56" t="inlineStr">
        <is>
          <t>[YOUR COMPANY NAME]</t>
        </is>
      </c>
    </row>
    <row r="2">
      <c r="A2" s="57" t="inlineStr">
        <is>
          <t>[your@email.com] | [yourwebsite.com] | [(555) 000-0000]</t>
        </is>
      </c>
    </row>
    <row r="4">
      <c r="A4" s="58" t="inlineStr">
        <is>
          <t>PROJECT PROPOSAL</t>
        </is>
      </c>
    </row>
    <row r="6">
      <c r="A6" s="59" t="inlineStr">
        <is>
          <t>PREPARED FOR:</t>
        </is>
      </c>
      <c r="D6" s="59" t="inlineStr">
        <is>
          <t>PROJECT DETAILS:</t>
        </is>
      </c>
    </row>
    <row r="7">
      <c r="A7" s="36" t="inlineStr">
        <is>
          <t>Client Name:</t>
        </is>
      </c>
      <c r="B7" s="60" t="inlineStr">
        <is>
          <t>Sarah Mitchell</t>
        </is>
      </c>
      <c r="D7" s="36" t="inlineStr">
        <is>
          <t>Project:</t>
        </is>
      </c>
      <c r="E7" s="60" t="inlineStr">
        <is>
          <t>Website Redesign</t>
        </is>
      </c>
    </row>
    <row r="8">
      <c r="A8" s="36" t="inlineStr">
        <is>
          <t>Company:</t>
        </is>
      </c>
      <c r="B8" s="60" t="inlineStr">
        <is>
          <t>BrightPath Marketing</t>
        </is>
      </c>
      <c r="D8" s="36" t="inlineStr">
        <is>
          <t>Timeline:</t>
        </is>
      </c>
      <c r="E8" s="60" t="inlineStr">
        <is>
          <t>8-10 weeks</t>
        </is>
      </c>
    </row>
    <row r="9">
      <c r="A9" s="36" t="inlineStr">
        <is>
          <t>Date:</t>
        </is>
      </c>
      <c r="B9" s="60" t="inlineStr">
        <is>
          <t>March 17, 2026</t>
        </is>
      </c>
      <c r="D9" s="36" t="inlineStr">
        <is>
          <t>Proposal #:</t>
        </is>
      </c>
      <c r="E9" s="60" t="inlineStr">
        <is>
          <t>PROP-2026-007</t>
        </is>
      </c>
    </row>
    <row r="10">
      <c r="A10" s="36" t="inlineStr">
        <is>
          <t>Valid Until:</t>
        </is>
      </c>
      <c r="B10" s="60" t="inlineStr">
        <is>
          <t>April 17, 2026</t>
        </is>
      </c>
    </row>
    <row r="12">
      <c r="A12" s="22" t="inlineStr">
        <is>
          <t>PROJECT OVERVIEW</t>
        </is>
      </c>
    </row>
    <row r="13">
      <c r="A13" s="61" t="inlineStr">
        <is>
          <t>A complete redesign of the BrightPath Marketing website to improve user experience, modernize the visual design, and optimize for lead generation. The project includes responsive design, SEO optimization, and integration with existing marketing tools.</t>
        </is>
      </c>
    </row>
    <row r="14"/>
    <row r="15"/>
    <row r="17">
      <c r="A17" s="22" t="inlineStr">
        <is>
          <t>SCOPE OF WORK</t>
        </is>
      </c>
    </row>
    <row r="18">
      <c r="A18" s="32" t="inlineStr">
        <is>
          <t>#</t>
        </is>
      </c>
      <c r="B18" s="32" t="inlineStr">
        <is>
          <t>Deliverable</t>
        </is>
      </c>
      <c r="C18" s="32" t="inlineStr">
        <is>
          <t>Description</t>
        </is>
      </c>
      <c r="D18" s="32" t="inlineStr">
        <is>
          <t>Timeline</t>
        </is>
      </c>
      <c r="E18" s="32" t="inlineStr">
        <is>
          <t>Price</t>
        </is>
      </c>
      <c r="F18" t="inlineStr"/>
    </row>
    <row r="19">
      <c r="A19" s="10" t="n">
        <v>1</v>
      </c>
      <c r="B19" s="10" t="inlineStr">
        <is>
          <t>Discovery &amp; Research</t>
        </is>
      </c>
      <c r="C19" s="10" t="inlineStr">
        <is>
          <t>Stakeholder interviews, competitor analysis, user research</t>
        </is>
      </c>
      <c r="D19" s="10" t="inlineStr">
        <is>
          <t>Week 1-2</t>
        </is>
      </c>
      <c r="E19" s="11" t="n">
        <v>1200</v>
      </c>
    </row>
    <row r="20">
      <c r="A20" s="12" t="n">
        <v>2</v>
      </c>
      <c r="B20" s="12" t="inlineStr">
        <is>
          <t>Wireframes &amp; Prototypes</t>
        </is>
      </c>
      <c r="C20" s="12" t="inlineStr">
        <is>
          <t>Low-fi wireframes, interactive prototype, client review</t>
        </is>
      </c>
      <c r="D20" s="12" t="inlineStr">
        <is>
          <t>Week 3-4</t>
        </is>
      </c>
      <c r="E20" s="13" t="n">
        <v>1800</v>
      </c>
    </row>
    <row r="21">
      <c r="A21" s="10" t="n">
        <v>3</v>
      </c>
      <c r="B21" s="10" t="inlineStr">
        <is>
          <t>Visual Design</t>
        </is>
      </c>
      <c r="C21" s="10" t="inlineStr">
        <is>
          <t>High-fidelity mockups for all pages, style guide</t>
        </is>
      </c>
      <c r="D21" s="10" t="inlineStr">
        <is>
          <t>Week 5-6</t>
        </is>
      </c>
      <c r="E21" s="11" t="n">
        <v>2400</v>
      </c>
    </row>
    <row r="22">
      <c r="A22" s="12" t="n">
        <v>4</v>
      </c>
      <c r="B22" s="12" t="inlineStr">
        <is>
          <t>Development</t>
        </is>
      </c>
      <c r="C22" s="12" t="inlineStr">
        <is>
          <t>Responsive HTML/CSS/JS build, CMS integration</t>
        </is>
      </c>
      <c r="D22" s="12" t="inlineStr">
        <is>
          <t>Week 7-9</t>
        </is>
      </c>
      <c r="E22" s="13" t="n">
        <v>3200</v>
      </c>
    </row>
    <row r="23">
      <c r="A23" s="10" t="n">
        <v>5</v>
      </c>
      <c r="B23" s="10" t="inlineStr">
        <is>
          <t>Testing &amp; Launch</t>
        </is>
      </c>
      <c r="C23" s="10" t="inlineStr">
        <is>
          <t>QA testing, bug fixes, deployment, training</t>
        </is>
      </c>
      <c r="D23" s="10" t="inlineStr">
        <is>
          <t>Week 10</t>
        </is>
      </c>
      <c r="E23" s="11" t="n">
        <v>1000</v>
      </c>
    </row>
    <row r="24">
      <c r="D24" s="35" t="inlineStr">
        <is>
          <t>TOTAL:</t>
        </is>
      </c>
      <c r="E24" s="62">
        <f>SUM(E19:E23)</f>
        <v/>
      </c>
    </row>
    <row r="26">
      <c r="A26" s="22" t="inlineStr">
        <is>
          <t>PAYMENT TERMS</t>
        </is>
      </c>
    </row>
    <row r="27">
      <c r="A27" t="inlineStr">
        <is>
          <t xml:space="preserve">  1.</t>
        </is>
      </c>
      <c r="B27" s="60" t="inlineStr">
        <is>
          <t>50% deposit required before work begins</t>
        </is>
      </c>
    </row>
    <row r="28">
      <c r="A28" t="inlineStr">
        <is>
          <t xml:space="preserve">  2.</t>
        </is>
      </c>
      <c r="B28" s="60" t="inlineStr">
        <is>
          <t>25% due upon design approval (after Phase 3)</t>
        </is>
      </c>
    </row>
    <row r="29">
      <c r="A29" t="inlineStr">
        <is>
          <t xml:space="preserve">  3.</t>
        </is>
      </c>
      <c r="B29" s="60" t="inlineStr">
        <is>
          <t>25% due upon project completion and delivery</t>
        </is>
      </c>
    </row>
    <row r="30">
      <c r="A30" t="inlineStr">
        <is>
          <t xml:space="preserve">  4.</t>
        </is>
      </c>
      <c r="B30" s="60" t="inlineStr">
        <is>
          <t>Payment due within 15 days of invoice date</t>
        </is>
      </c>
    </row>
    <row r="31">
      <c r="A31" t="inlineStr">
        <is>
          <t xml:space="preserve">  5.</t>
        </is>
      </c>
      <c r="B31" s="60" t="inlineStr">
        <is>
          <t>Late payments subject to 1.5% monthly interest</t>
        </is>
      </c>
    </row>
    <row r="33">
      <c r="A33" s="22" t="inlineStr">
        <is>
          <t>TERMS &amp; CONDITIONS</t>
        </is>
      </c>
    </row>
    <row r="34">
      <c r="A34" t="inlineStr">
        <is>
          <t xml:space="preserve">  1.</t>
        </is>
      </c>
      <c r="B34" s="63" t="inlineStr">
        <is>
          <t>This proposal is valid for 30 days from the date above.</t>
        </is>
      </c>
    </row>
    <row r="35">
      <c r="A35" t="inlineStr">
        <is>
          <t xml:space="preserve">  2.</t>
        </is>
      </c>
      <c r="B35" s="63" t="inlineStr">
        <is>
          <t>Project timeline begins upon receipt of signed agreement and deposit.</t>
        </is>
      </c>
    </row>
    <row r="36">
      <c r="A36" t="inlineStr">
        <is>
          <t xml:space="preserve">  3.</t>
        </is>
      </c>
      <c r="B36" s="63" t="inlineStr">
        <is>
          <t>Up to 2 rounds of revisions are included per deliverable phase.</t>
        </is>
      </c>
    </row>
    <row r="37">
      <c r="A37" t="inlineStr">
        <is>
          <t xml:space="preserve">  4.</t>
        </is>
      </c>
      <c r="B37" s="63" t="inlineStr">
        <is>
          <t>Additional revisions will be billed at the agreed hourly rate.</t>
        </is>
      </c>
    </row>
    <row r="38">
      <c r="A38" t="inlineStr">
        <is>
          <t xml:space="preserve">  5.</t>
        </is>
      </c>
      <c r="B38" s="63" t="inlineStr">
        <is>
          <t>Client is responsible for providing all required content and assets on time.</t>
        </is>
      </c>
    </row>
    <row r="39">
      <c r="A39" t="inlineStr">
        <is>
          <t xml:space="preserve">  6.</t>
        </is>
      </c>
      <c r="B39" s="63" t="inlineStr">
        <is>
          <t>Delays in client feedback may extend the project timeline.</t>
        </is>
      </c>
    </row>
    <row r="42">
      <c r="A42" s="36" t="inlineStr">
        <is>
          <t>ACCEPTED BY:</t>
        </is>
      </c>
      <c r="D42" s="36" t="inlineStr">
        <is>
          <t>PREPARED BY:</t>
        </is>
      </c>
    </row>
    <row r="43">
      <c r="A43" s="60" t="inlineStr">
        <is>
          <t>Signature: ___________________________</t>
        </is>
      </c>
      <c r="D43" s="60" t="inlineStr">
        <is>
          <t>Signature: ___________________________</t>
        </is>
      </c>
    </row>
    <row r="44">
      <c r="A44" s="60" t="inlineStr">
        <is>
          <t>Date: ___________________________</t>
        </is>
      </c>
      <c r="D44" s="60" t="inlineStr">
        <is>
          <t>Date: ___________________________</t>
        </is>
      </c>
    </row>
  </sheetData>
  <mergeCells count="23">
    <mergeCell ref="B31:F31"/>
    <mergeCell ref="A12:F12"/>
    <mergeCell ref="A26:F26"/>
    <mergeCell ref="B27:F27"/>
    <mergeCell ref="A2:F2"/>
    <mergeCell ref="A33:F33"/>
    <mergeCell ref="A42:C42"/>
    <mergeCell ref="B39:F39"/>
    <mergeCell ref="A17:F17"/>
    <mergeCell ref="A4:F4"/>
    <mergeCell ref="D42:F42"/>
    <mergeCell ref="B29:F29"/>
    <mergeCell ref="B38:F38"/>
    <mergeCell ref="B34:F34"/>
    <mergeCell ref="B28:F28"/>
    <mergeCell ref="A13:F15"/>
    <mergeCell ref="B37:F37"/>
    <mergeCell ref="B30:F30"/>
    <mergeCell ref="A1:F1"/>
    <mergeCell ref="A6:C6"/>
    <mergeCell ref="B36:F36"/>
    <mergeCell ref="D6:F6"/>
    <mergeCell ref="B35:F35"/>
  </mergeCells>
  <pageMargins left="0.75" right="0.75" top="0.5" bottom="0.5"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2026-03-18T05:09:54Z</dcterms:created>
  <dcterms:modified xsi:type="dcterms:W3CDTF">2026-03-18T05:09:54Z</dcterms:modified>
</cp:coreProperties>
</file>