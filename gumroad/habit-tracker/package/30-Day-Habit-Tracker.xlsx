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30-Day Tracker" sheetId="2" state="visible" r:id="rId2"/>
    <sheet name="Dashboard" sheetId="3" state="visible" r:id="rId3"/>
    <sheet name="Weekly Review" sheetId="4" state="visible" r:id="rId4"/>
    <sheet name="Habit Ideas Ban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1E3A5F"/>
      <sz val="13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7F8C8D"/>
      <sz val="11"/>
    </font>
    <font>
      <name val="Calibri"/>
      <color rgb="007F8C8D"/>
      <sz val="11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27AE60"/>
      <sz val="11"/>
    </font>
    <font>
      <name val="Calibri"/>
      <b val="1"/>
      <color rgb="003498DB"/>
      <sz val="11"/>
    </font>
    <font>
      <name val="Calibri"/>
      <b val="1"/>
      <color rgb="001E3A5F"/>
      <sz val="11"/>
    </font>
    <font>
      <name val="Calibri"/>
      <color rgb="00333333"/>
      <sz val="9"/>
    </font>
    <font>
      <name val="Calibri"/>
      <b val="1"/>
      <color rgb="0027AE60"/>
      <sz val="36"/>
    </font>
    <font>
      <name val="Calibri"/>
      <b val="1"/>
      <color rgb="001E3A5F"/>
      <sz val="28"/>
    </font>
    <font>
      <name val="Calibri"/>
      <b val="1"/>
      <color rgb="003498DB"/>
      <sz val="36"/>
    </font>
    <font>
      <name val="Calibri"/>
      <b val="1"/>
      <color rgb="00FFFFFF"/>
      <sz val="12"/>
    </font>
    <font>
      <name val="Consolas"/>
      <b val="1"/>
      <color rgb="0027AE60"/>
      <sz val="10"/>
    </font>
    <font>
      <name val="Consolas"/>
      <b val="1"/>
      <color rgb="001ABC9C"/>
      <sz val="10"/>
    </font>
    <font>
      <name val="Consolas"/>
      <b val="1"/>
      <color rgb="003498DB"/>
      <sz val="10"/>
    </font>
    <font>
      <name val="Consolas"/>
      <b val="1"/>
      <color rgb="009B59B6"/>
      <sz val="10"/>
    </font>
    <font>
      <name val="Consolas"/>
      <b val="1"/>
      <color rgb="00E67E22"/>
      <sz val="10"/>
    </font>
    <font>
      <name val="Consolas"/>
      <b val="1"/>
      <color rgb="00E91E63"/>
      <sz val="10"/>
    </font>
    <font>
      <name val="Consolas"/>
      <b val="1"/>
      <color rgb="00F39C12"/>
      <sz val="10"/>
    </font>
    <font>
      <name val="Consolas"/>
      <b val="1"/>
      <color rgb="007F8C8D"/>
      <sz val="10"/>
    </font>
    <font>
      <name val="Calibri"/>
      <i val="1"/>
      <color rgb="007F8C8D"/>
      <sz val="11"/>
    </font>
    <font>
      <name val="Calibri"/>
      <b val="1"/>
      <color rgb="00FFFFFF"/>
      <sz val="13"/>
    </font>
    <font>
      <name val="Calibri"/>
      <b val="1"/>
      <color rgb="0027AE60"/>
      <sz val="16"/>
    </font>
    <font>
      <name val="Calibri"/>
      <color rgb="007F8C8D"/>
      <sz val="10"/>
    </font>
    <font>
      <name val="Calibri"/>
      <b val="1"/>
      <color rgb="0027AE60"/>
      <sz val="10"/>
    </font>
    <font>
      <name val="Calibri"/>
      <color rgb="00333333"/>
      <sz val="10"/>
    </font>
    <font>
      <name val="Calibri"/>
      <b val="1"/>
      <color rgb="00F39C12"/>
      <sz val="10"/>
    </font>
    <font>
      <name val="Calibri"/>
      <b val="1"/>
      <color rgb="00E74C3C"/>
      <sz val="10"/>
    </font>
  </fonts>
  <fills count="1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152C4A"/>
        <bgColor rgb="00152C4A"/>
      </patternFill>
    </fill>
    <fill>
      <patternFill patternType="solid">
        <fgColor rgb="00F5F6FA"/>
        <bgColor rgb="00F5F6FA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9B59B6"/>
        <bgColor rgb="009B59B6"/>
      </patternFill>
    </fill>
    <fill>
      <patternFill patternType="solid">
        <fgColor rgb="001ABC9C"/>
        <bgColor rgb="001ABC9C"/>
      </patternFill>
    </fill>
    <fill>
      <patternFill patternType="solid">
        <fgColor rgb="00E67E22"/>
        <bgColor rgb="00E67E22"/>
      </patternFill>
    </fill>
    <fill>
      <patternFill patternType="solid">
        <fgColor rgb="00E91E63"/>
        <bgColor rgb="00E91E63"/>
      </patternFill>
    </fill>
    <fill>
      <patternFill patternType="solid">
        <fgColor rgb="00F39C12"/>
        <bgColor rgb="00F39C12"/>
      </patternFill>
    </fill>
    <fill>
      <patternFill patternType="solid">
        <fgColor rgb="007F8C8D"/>
        <bgColor rgb="007F8C8D"/>
      </patternFill>
    </fill>
  </fills>
  <borders count="6">
    <border>
      <left/>
      <right/>
      <top/>
      <bottom/>
      <diagonal/>
    </border>
    <border>
      <bottom style="thin">
        <color rgb="001E3A5F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164" fontId="5" fillId="5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9" fontId="1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9" fontId="14" fillId="5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9" fontId="16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9" fontId="14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left" vertical="center" wrapText="1"/>
    </xf>
    <xf numFmtId="9" fontId="14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21" fillId="6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21" fillId="4" borderId="2" pivotButton="0" quotePrefix="0" xfId="0"/>
    <xf numFmtId="9" fontId="4" fillId="6" borderId="2" applyAlignment="1" pivotButton="0" quotePrefix="0" xfId="0">
      <alignment horizontal="center" vertical="center" wrapText="1"/>
    </xf>
    <xf numFmtId="0" fontId="20" fillId="6" borderId="2" pivotButton="0" quotePrefix="0" xfId="0"/>
    <xf numFmtId="9" fontId="4" fillId="4" borderId="2" applyAlignment="1" pivotButton="0" quotePrefix="0" xfId="0">
      <alignment horizontal="center" vertical="center" wrapText="1"/>
    </xf>
    <xf numFmtId="0" fontId="22" fillId="4" borderId="2" pivotButton="0" quotePrefix="0" xfId="0"/>
    <xf numFmtId="0" fontId="23" fillId="6" borderId="2" pivotButton="0" quotePrefix="0" xfId="0"/>
    <xf numFmtId="0" fontId="24" fillId="6" borderId="2" pivotButton="0" quotePrefix="0" xfId="0"/>
    <xf numFmtId="0" fontId="25" fillId="4" borderId="2" pivotButton="0" quotePrefix="0" xfId="0"/>
    <xf numFmtId="0" fontId="26" fillId="6" borderId="2" pivotButton="0" quotePrefix="0" xfId="0"/>
    <xf numFmtId="0" fontId="27" fillId="4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28" fillId="6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8" fillId="4" borderId="2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left" vertical="center" wrapText="1"/>
    </xf>
    <xf numFmtId="0" fontId="14" fillId="4" borderId="2" pivotButton="0" quotePrefix="0" xfId="0"/>
    <xf numFmtId="9" fontId="30" fillId="4" borderId="2" applyAlignment="1" pivotButton="0" quotePrefix="0" xfId="0">
      <alignment horizontal="center" vertical="center" wrapText="1"/>
    </xf>
    <xf numFmtId="0" fontId="14" fillId="6" borderId="2" pivotButton="0" quotePrefix="0" xfId="0"/>
    <xf numFmtId="0" fontId="31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10" fillId="7" borderId="2" applyAlignment="1" pivotButton="0" quotePrefix="0" xfId="0">
      <alignment horizontal="center" vertical="center" wrapText="1"/>
    </xf>
    <xf numFmtId="0" fontId="32" fillId="6" borderId="2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 wrapText="1"/>
    </xf>
    <xf numFmtId="0" fontId="34" fillId="4" borderId="2" applyAlignment="1" pivotButton="0" quotePrefix="0" xfId="0">
      <alignment horizontal="center" vertical="center" wrapText="1"/>
    </xf>
    <xf numFmtId="0" fontId="33" fillId="4" borderId="2" applyAlignment="1" pivotButton="0" quotePrefix="0" xfId="0">
      <alignment horizontal="center" vertical="center" wrapText="1"/>
    </xf>
    <xf numFmtId="0" fontId="35" fillId="4" borderId="2" applyAlignment="1" pivotButton="0" quotePrefix="0" xfId="0">
      <alignment horizontal="center" vertical="center" wrapText="1"/>
    </xf>
    <xf numFmtId="0" fontId="32" fillId="4" borderId="2" applyAlignment="1" pivotButton="0" quotePrefix="0" xfId="0">
      <alignment horizontal="center" vertical="center" wrapText="1"/>
    </xf>
    <xf numFmtId="0" fontId="34" fillId="6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40" customWidth="1" min="4" max="4"/>
    <col width="40" customWidth="1" min="5" max="5"/>
    <col width="5" customWidth="1" min="6" max="6"/>
  </cols>
  <sheetData>
    <row r="1">
      <c r="B1" s="1" t="inlineStr">
        <is>
          <t>THE 30-DAY HABIT TRACKER &amp; GOAL DASHBOARD</t>
        </is>
      </c>
      <c r="C1" s="1" t="n"/>
      <c r="D1" s="1" t="n"/>
      <c r="E1" s="1" t="n"/>
    </row>
    <row r="2">
      <c r="B2" s="2" t="inlineStr">
        <is>
          <t>Track your habits, crush your goals, and see your progress.</t>
        </is>
      </c>
      <c r="C2" s="2" t="n"/>
      <c r="D2" s="2" t="n"/>
      <c r="E2" s="2" t="n"/>
    </row>
    <row r="3" ht="8" customHeight="1"/>
    <row r="4">
      <c r="B4" s="3" t="inlineStr">
        <is>
          <t>YOUR INFO</t>
        </is>
      </c>
      <c r="C4" s="4" t="n"/>
      <c r="D4" s="4" t="n"/>
      <c r="E4" s="4" t="n"/>
    </row>
    <row r="5">
      <c r="B5" s="5" t="inlineStr">
        <is>
          <t>Your Name:</t>
        </is>
      </c>
      <c r="C5" s="6" t="inlineStr"/>
    </row>
    <row r="6">
      <c r="B6" s="5" t="inlineStr">
        <is>
          <t>Start Date:</t>
        </is>
      </c>
      <c r="C6" s="7" t="inlineStr">
        <is>
          <t>2026-03-18</t>
        </is>
      </c>
    </row>
    <row r="7">
      <c r="B7" s="5" t="inlineStr">
        <is>
          <t>End Date (auto):</t>
        </is>
      </c>
      <c r="C7" s="8">
        <f>C6+29</f>
        <v/>
      </c>
    </row>
    <row r="8" ht="8" customHeight="1"/>
    <row r="9">
      <c r="B9" s="3" t="inlineStr">
        <is>
          <t>DEFINE YOUR HABITS (UP TO 8)</t>
        </is>
      </c>
      <c r="C9" s="4" t="n"/>
      <c r="D9" s="4" t="n"/>
      <c r="E9" s="4" t="n"/>
    </row>
    <row r="10">
      <c r="B10" s="9" t="inlineStr">
        <is>
          <t>Habit Name</t>
        </is>
      </c>
      <c r="C10" s="9" t="inlineStr">
        <is>
          <t>Category</t>
        </is>
      </c>
      <c r="D10" s="9" t="inlineStr">
        <is>
          <t>Daily Goal Description</t>
        </is>
      </c>
      <c r="E10" s="9" t="inlineStr">
        <is>
          <t>Why It Matters</t>
        </is>
      </c>
    </row>
    <row r="11" ht="30" customHeight="1">
      <c r="A11" s="10" t="n">
        <v>1</v>
      </c>
      <c r="B11" s="11" t="inlineStr">
        <is>
          <t>Drink 8 glasses of water</t>
        </is>
      </c>
      <c r="C11" s="11" t="inlineStr">
        <is>
          <t>Health</t>
        </is>
      </c>
      <c r="D11" s="11" t="inlineStr">
        <is>
          <t>Drink 8 full glasses throughout the day</t>
        </is>
      </c>
      <c r="E11" s="11" t="inlineStr">
        <is>
          <t>Stay hydrated for energy &amp; focus</t>
        </is>
      </c>
    </row>
    <row r="12" ht="30" customHeight="1">
      <c r="A12" s="10" t="n">
        <v>2</v>
      </c>
      <c r="B12" s="12" t="inlineStr">
        <is>
          <t>Read for 20 minutes</t>
        </is>
      </c>
      <c r="C12" s="12" t="inlineStr">
        <is>
          <t>Learning</t>
        </is>
      </c>
      <c r="D12" s="12" t="inlineStr">
        <is>
          <t>Read a book or article for 20 min</t>
        </is>
      </c>
      <c r="E12" s="12" t="inlineStr">
        <is>
          <t>Expand knowledge &amp; reduce stress</t>
        </is>
      </c>
    </row>
    <row r="13" ht="30" customHeight="1">
      <c r="A13" s="10" t="n">
        <v>3</v>
      </c>
      <c r="B13" s="11" t="inlineStr">
        <is>
          <t>Meditate for 5 minutes</t>
        </is>
      </c>
      <c r="C13" s="11" t="inlineStr">
        <is>
          <t>Mindfulness</t>
        </is>
      </c>
      <c r="D13" s="11" t="inlineStr">
        <is>
          <t>Sit quietly and focus on breathing</t>
        </is>
      </c>
      <c r="E13" s="11" t="inlineStr">
        <is>
          <t>Reduce anxiety &amp; improve clarity</t>
        </is>
      </c>
    </row>
    <row r="14" ht="30" customHeight="1">
      <c r="A14" s="10" t="n">
        <v>4</v>
      </c>
      <c r="B14" s="12" t="inlineStr">
        <is>
          <t>Exercise 30 minutes</t>
        </is>
      </c>
      <c r="C14" s="12" t="inlineStr">
        <is>
          <t>Fitness</t>
        </is>
      </c>
      <c r="D14" s="12" t="inlineStr">
        <is>
          <t>Any physical activity for 30 min</t>
        </is>
      </c>
      <c r="E14" s="12" t="inlineStr">
        <is>
          <t>Build strength &amp; boost mood</t>
        </is>
      </c>
    </row>
    <row r="15" ht="30" customHeight="1">
      <c r="A15" s="10" t="n">
        <v>5</v>
      </c>
      <c r="B15" s="11" t="inlineStr">
        <is>
          <t>Write in journal</t>
        </is>
      </c>
      <c r="C15" s="11" t="inlineStr">
        <is>
          <t>Creative</t>
        </is>
      </c>
      <c r="D15" s="11" t="inlineStr">
        <is>
          <t>Write at least 200 words</t>
        </is>
      </c>
      <c r="E15" s="11" t="inlineStr">
        <is>
          <t>Process thoughts &amp; track growth</t>
        </is>
      </c>
    </row>
    <row r="16" ht="30" customHeight="1">
      <c r="A16" s="10" t="n">
        <v>6</v>
      </c>
      <c r="B16" s="12" t="inlineStr">
        <is>
          <t>No phone first hour</t>
        </is>
      </c>
      <c r="C16" s="12" t="inlineStr">
        <is>
          <t>Productivity</t>
        </is>
      </c>
      <c r="D16" s="12" t="inlineStr">
        <is>
          <t>Avoid phone for 1st hour after waking</t>
        </is>
      </c>
      <c r="E16" s="12" t="inlineStr">
        <is>
          <t>Start the day with intention</t>
        </is>
      </c>
    </row>
    <row r="17" ht="30" customHeight="1">
      <c r="A17" s="10" t="n">
        <v>7</v>
      </c>
      <c r="B17" s="11" t="inlineStr">
        <is>
          <t>Practice a skill</t>
        </is>
      </c>
      <c r="C17" s="11" t="inlineStr">
        <is>
          <t>Learning</t>
        </is>
      </c>
      <c r="D17" s="11" t="inlineStr">
        <is>
          <t>Spend 15 min on a new skill</t>
        </is>
      </c>
      <c r="E17" s="11" t="inlineStr">
        <is>
          <t>Continuous improvement compounds</t>
        </is>
      </c>
    </row>
    <row r="18" ht="30" customHeight="1">
      <c r="A18" s="10" t="n">
        <v>8</v>
      </c>
      <c r="B18" s="12" t="inlineStr">
        <is>
          <t>Connect with someone</t>
        </is>
      </c>
      <c r="C18" s="12" t="inlineStr">
        <is>
          <t>Social</t>
        </is>
      </c>
      <c r="D18" s="12" t="inlineStr">
        <is>
          <t>Call, text, or meet a friend/family</t>
        </is>
      </c>
      <c r="E18" s="12" t="inlineStr">
        <is>
          <t>Nurture meaningful relationships</t>
        </is>
      </c>
    </row>
    <row r="21" ht="8" customHeight="1"/>
    <row r="22">
      <c r="B22" s="3" t="inlineStr">
        <is>
          <t>CATEGORY COLOR GUIDE</t>
        </is>
      </c>
      <c r="C22" s="4" t="n"/>
      <c r="D22" s="4" t="n"/>
      <c r="E22" s="4" t="n"/>
    </row>
    <row r="23">
      <c r="B23" s="13" t="inlineStr">
        <is>
          <t>Health</t>
        </is>
      </c>
      <c r="C23" s="14" t="inlineStr">
        <is>
          <t>Productivity</t>
        </is>
      </c>
      <c r="D23" s="15" t="inlineStr">
        <is>
          <t>Learning</t>
        </is>
      </c>
      <c r="E23" s="16" t="inlineStr">
        <is>
          <t>Mindfulness</t>
        </is>
      </c>
    </row>
    <row r="24">
      <c r="B24" s="17" t="inlineStr">
        <is>
          <t>Fitness</t>
        </is>
      </c>
      <c r="C24" s="18" t="inlineStr">
        <is>
          <t>Creative</t>
        </is>
      </c>
      <c r="D24" s="19" t="inlineStr">
        <is>
          <t>Social</t>
        </is>
      </c>
      <c r="E24" s="20" t="inlineStr">
        <is>
          <t>Custom</t>
        </is>
      </c>
    </row>
    <row r="26" ht="8" customHeight="1"/>
    <row r="27">
      <c r="B27" s="3" t="inlineStr">
        <is>
          <t>HOW TO USE THIS WORKBOOK</t>
        </is>
      </c>
      <c r="C27" s="4" t="n"/>
      <c r="D27" s="4" t="n"/>
      <c r="E27" s="4" t="n"/>
    </row>
    <row r="28">
      <c r="B28" s="21" t="inlineStr">
        <is>
          <t>1. SETUP: Fill in your name, start date, and define up to 8 habits above.</t>
        </is>
      </c>
    </row>
    <row r="29">
      <c r="B29" s="21" t="inlineStr">
        <is>
          <t>2. TRACK: Go to the '30-Day Tracker' tab. Enter 1 for completed, 0 for missed. Leave future days blank.</t>
        </is>
      </c>
    </row>
    <row r="30">
      <c r="B30" s="21" t="inlineStr">
        <is>
          <t>3. DASHBOARD: Check the 'Dashboard' tab anytime to see your progress, streaks, and completion rates.</t>
        </is>
      </c>
    </row>
    <row r="31">
      <c r="B31" s="21" t="inlineStr">
        <is>
          <t>4. REVIEW: At the end of each week, use the 'Weekly Review' tab to reflect on wins and struggles.</t>
        </is>
      </c>
    </row>
    <row r="32">
      <c r="B32" s="21" t="inlineStr">
        <is>
          <t>5. IDEAS: Browse the 'Habit Ideas Bank' tab for 50+ habit suggestions if you need inspiration.</t>
        </is>
      </c>
    </row>
    <row r="33">
      <c r="B33" s="22" t="inlineStr"/>
    </row>
    <row r="34">
      <c r="B34" s="22" t="inlineStr">
        <is>
          <t>TIP: Start with just 3-4 habits. You can always add more once you build consistency!</t>
        </is>
      </c>
    </row>
    <row r="35">
      <c r="B35" s="22" t="inlineStr">
        <is>
          <t>TIP: Open this in the Google Sheets mobile app to track habits on the go.</t>
        </is>
      </c>
    </row>
    <row r="36">
      <c r="B36" s="22" t="inlineStr">
        <is>
          <t>TIP: Share the link with a friend for accountability.</t>
        </is>
      </c>
    </row>
  </sheetData>
  <mergeCells count="15">
    <mergeCell ref="B31:E31"/>
    <mergeCell ref="B36:E36"/>
    <mergeCell ref="B9:E9"/>
    <mergeCell ref="B1:E1"/>
    <mergeCell ref="B27:E27"/>
    <mergeCell ref="B35:E35"/>
    <mergeCell ref="B4:E4"/>
    <mergeCell ref="B30:E30"/>
    <mergeCell ref="B29:E29"/>
    <mergeCell ref="B33:E33"/>
    <mergeCell ref="B2:E2"/>
    <mergeCell ref="B34:E34"/>
    <mergeCell ref="B28:E28"/>
    <mergeCell ref="B22:E22"/>
    <mergeCell ref="B32:E32"/>
  </mergeCells>
  <dataValidations count="1">
    <dataValidation sqref="C11 C12 C13 C14 C15 C16 C17 C18" showDropDown="0" showInputMessage="0" showErrorMessage="0" allowBlank="1" errorTitle="Invalid Category" error="Please select a category from the dropdown." type="list">
      <formula1>"Health,Productivity,Learning,Mindfulness,Fitness,Creative,Social,Custom"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AI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12" customWidth="1" min="33" max="33"/>
    <col width="12" customWidth="1" min="34" max="34"/>
    <col width="14" customWidth="1" min="35" max="35"/>
  </cols>
  <sheetData>
    <row r="1">
      <c r="B1" s="23" t="inlineStr">
        <is>
          <t>30-DAY HABIT TRACKER</t>
        </is>
      </c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</row>
    <row r="2">
      <c r="B2" s="24" t="inlineStr">
        <is>
          <t>HABIT</t>
        </is>
      </c>
      <c r="C2" s="25" t="n">
        <v>1</v>
      </c>
      <c r="D2" s="25" t="n">
        <v>2</v>
      </c>
      <c r="E2" s="25" t="n">
        <v>3</v>
      </c>
      <c r="F2" s="25" t="n">
        <v>4</v>
      </c>
      <c r="G2" s="25" t="n">
        <v>5</v>
      </c>
      <c r="H2" s="25" t="n">
        <v>6</v>
      </c>
      <c r="I2" s="25" t="n">
        <v>7</v>
      </c>
      <c r="J2" s="25" t="n">
        <v>8</v>
      </c>
      <c r="K2" s="25" t="n">
        <v>9</v>
      </c>
      <c r="L2" s="25" t="n">
        <v>10</v>
      </c>
      <c r="M2" s="25" t="n">
        <v>11</v>
      </c>
      <c r="N2" s="25" t="n">
        <v>12</v>
      </c>
      <c r="O2" s="25" t="n">
        <v>13</v>
      </c>
      <c r="P2" s="25" t="n">
        <v>14</v>
      </c>
      <c r="Q2" s="25" t="n">
        <v>15</v>
      </c>
      <c r="R2" s="25" t="n">
        <v>16</v>
      </c>
      <c r="S2" s="25" t="n">
        <v>17</v>
      </c>
      <c r="T2" s="25" t="n">
        <v>18</v>
      </c>
      <c r="U2" s="25" t="n">
        <v>19</v>
      </c>
      <c r="V2" s="25" t="n">
        <v>20</v>
      </c>
      <c r="W2" s="25" t="n">
        <v>21</v>
      </c>
      <c r="X2" s="25" t="n">
        <v>22</v>
      </c>
      <c r="Y2" s="25" t="n">
        <v>23</v>
      </c>
      <c r="Z2" s="25" t="n">
        <v>24</v>
      </c>
      <c r="AA2" s="25" t="n">
        <v>25</v>
      </c>
      <c r="AB2" s="25" t="n">
        <v>26</v>
      </c>
      <c r="AC2" s="25" t="n">
        <v>27</v>
      </c>
      <c r="AD2" s="25" t="n">
        <v>28</v>
      </c>
      <c r="AE2" s="25" t="n">
        <v>29</v>
      </c>
      <c r="AF2" s="25" t="n">
        <v>30</v>
      </c>
      <c r="AG2" s="26" t="inlineStr">
        <is>
          <t>Current
Streak</t>
        </is>
      </c>
      <c r="AH2" s="26" t="inlineStr">
        <is>
          <t>Best
Streak</t>
        </is>
      </c>
      <c r="AI2" s="26" t="inlineStr">
        <is>
          <t>Completion
%</t>
        </is>
      </c>
    </row>
    <row r="3" ht="28" customHeight="1">
      <c r="A3" s="10" t="n">
        <v>1</v>
      </c>
      <c r="B3" s="27">
        <f>Setup!B11</f>
        <v/>
      </c>
      <c r="C3" s="28" t="n">
        <v>1</v>
      </c>
      <c r="D3" s="28" t="n">
        <v>1</v>
      </c>
      <c r="E3" s="28" t="n">
        <v>1</v>
      </c>
      <c r="F3" s="28" t="n">
        <v>0</v>
      </c>
      <c r="G3" s="28" t="n">
        <v>1</v>
      </c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9">
        <f>IF(COUNTA(C3:AF3)=0,0,IF(INDIRECT("R3C"&amp;(2+COUNTA(C3:AF3)),FALSE)=1,COUNTA(C3:AF3)-IFERROR(MATCH(0,INDEX(C3:AF3,SEQUENCE(COUNTA(C3:AF3),1,COUNTA(C3:AF3),-1)),0),COUNTA(C3:AF3))+1,0))</f>
        <v/>
      </c>
      <c r="AH3" s="30">
        <f>IF(COUNTA(C3:AF3)=0,0,MAX(FREQUENCY(IF(C3:AF3=1,COLUMN(C3:AF3)),IF(C3:AF3&lt;&gt;1,COLUMN(C3:AF3)))))</f>
        <v/>
      </c>
      <c r="AI3" s="31">
        <f>IF(COUNTA(C3:AF3)=0,"",COUNTIF(C3:AF3,1)/COUNTA(C3:AF3))</f>
        <v/>
      </c>
    </row>
    <row r="4" ht="28" customHeight="1">
      <c r="A4" s="10" t="n">
        <v>2</v>
      </c>
      <c r="B4" s="32">
        <f>Setup!B12</f>
        <v/>
      </c>
      <c r="C4" s="28" t="n">
        <v>1</v>
      </c>
      <c r="D4" s="28" t="n">
        <v>1</v>
      </c>
      <c r="E4" s="28" t="n">
        <v>1</v>
      </c>
      <c r="F4" s="28" t="n">
        <v>1</v>
      </c>
      <c r="G4" s="28" t="n">
        <v>1</v>
      </c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9">
        <f>IF(COUNTA(C4:AF4)=0,0,IF(INDIRECT("R4C"&amp;(2+COUNTA(C4:AF4)),FALSE)=1,COUNTA(C4:AF4)-IFERROR(MATCH(0,INDEX(C4:AF4,SEQUENCE(COUNTA(C4:AF4),1,COUNTA(C4:AF4),-1)),0),COUNTA(C4:AF4))+1,0))</f>
        <v/>
      </c>
      <c r="AH4" s="30">
        <f>IF(COUNTA(C4:AF4)=0,0,MAX(FREQUENCY(IF(C4:AF4=1,COLUMN(C4:AF4)),IF(C4:AF4&lt;&gt;1,COLUMN(C4:AF4)))))</f>
        <v/>
      </c>
      <c r="AI4" s="31">
        <f>IF(COUNTA(C4:AF4)=0,"",COUNTIF(C4:AF4,1)/COUNTA(C4:AF4))</f>
        <v/>
      </c>
    </row>
    <row r="5" ht="28" customHeight="1">
      <c r="A5" s="10" t="n">
        <v>3</v>
      </c>
      <c r="B5" s="27">
        <f>Setup!B13</f>
        <v/>
      </c>
      <c r="C5" s="28" t="n">
        <v>1</v>
      </c>
      <c r="D5" s="28" t="n">
        <v>0</v>
      </c>
      <c r="E5" s="28" t="n">
        <v>1</v>
      </c>
      <c r="F5" s="28" t="n">
        <v>1</v>
      </c>
      <c r="G5" s="28" t="n">
        <v>1</v>
      </c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9">
        <f>IF(COUNTA(C5:AF5)=0,0,IF(INDIRECT("R5C"&amp;(2+COUNTA(C5:AF5)),FALSE)=1,COUNTA(C5:AF5)-IFERROR(MATCH(0,INDEX(C5:AF5,SEQUENCE(COUNTA(C5:AF5),1,COUNTA(C5:AF5),-1)),0),COUNTA(C5:AF5))+1,0))</f>
        <v/>
      </c>
      <c r="AH5" s="30">
        <f>IF(COUNTA(C5:AF5)=0,0,MAX(FREQUENCY(IF(C5:AF5=1,COLUMN(C5:AF5)),IF(C5:AF5&lt;&gt;1,COLUMN(C5:AF5)))))</f>
        <v/>
      </c>
      <c r="AI5" s="31">
        <f>IF(COUNTA(C5:AF5)=0,"",COUNTIF(C5:AF5,1)/COUNTA(C5:AF5))</f>
        <v/>
      </c>
    </row>
    <row r="6" ht="28" customHeight="1">
      <c r="A6" s="10" t="n">
        <v>4</v>
      </c>
      <c r="B6" s="32">
        <f>Setup!B14</f>
        <v/>
      </c>
      <c r="C6" s="28" t="n">
        <v>0</v>
      </c>
      <c r="D6" s="28" t="n">
        <v>1</v>
      </c>
      <c r="E6" s="28" t="n">
        <v>1</v>
      </c>
      <c r="F6" s="28" t="n">
        <v>1</v>
      </c>
      <c r="G6" s="28" t="n">
        <v>0</v>
      </c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9">
        <f>IF(COUNTA(C6:AF6)=0,0,IF(INDIRECT("R6C"&amp;(2+COUNTA(C6:AF6)),FALSE)=1,COUNTA(C6:AF6)-IFERROR(MATCH(0,INDEX(C6:AF6,SEQUENCE(COUNTA(C6:AF6),1,COUNTA(C6:AF6),-1)),0),COUNTA(C6:AF6))+1,0))</f>
        <v/>
      </c>
      <c r="AH6" s="30">
        <f>IF(COUNTA(C6:AF6)=0,0,MAX(FREQUENCY(IF(C6:AF6=1,COLUMN(C6:AF6)),IF(C6:AF6&lt;&gt;1,COLUMN(C6:AF6)))))</f>
        <v/>
      </c>
      <c r="AI6" s="31">
        <f>IF(COUNTA(C6:AF6)=0,"",COUNTIF(C6:AF6,1)/COUNTA(C6:AF6))</f>
        <v/>
      </c>
    </row>
    <row r="7" ht="28" customHeight="1">
      <c r="A7" s="10" t="n">
        <v>5</v>
      </c>
      <c r="B7" s="27">
        <f>Setup!B15</f>
        <v/>
      </c>
      <c r="C7" s="28" t="n">
        <v>1</v>
      </c>
      <c r="D7" s="28" t="n">
        <v>1</v>
      </c>
      <c r="E7" s="28" t="n">
        <v>0</v>
      </c>
      <c r="F7" s="28" t="n">
        <v>1</v>
      </c>
      <c r="G7" s="28" t="n">
        <v>1</v>
      </c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9">
        <f>IF(COUNTA(C7:AF7)=0,0,IF(INDIRECT("R7C"&amp;(2+COUNTA(C7:AF7)),FALSE)=1,COUNTA(C7:AF7)-IFERROR(MATCH(0,INDEX(C7:AF7,SEQUENCE(COUNTA(C7:AF7),1,COUNTA(C7:AF7),-1)),0),COUNTA(C7:AF7))+1,0))</f>
        <v/>
      </c>
      <c r="AH7" s="30">
        <f>IF(COUNTA(C7:AF7)=0,0,MAX(FREQUENCY(IF(C7:AF7=1,COLUMN(C7:AF7)),IF(C7:AF7&lt;&gt;1,COLUMN(C7:AF7)))))</f>
        <v/>
      </c>
      <c r="AI7" s="31">
        <f>IF(COUNTA(C7:AF7)=0,"",COUNTIF(C7:AF7,1)/COUNTA(C7:AF7))</f>
        <v/>
      </c>
    </row>
    <row r="8" ht="28" customHeight="1">
      <c r="A8" s="10" t="n">
        <v>6</v>
      </c>
      <c r="B8" s="32">
        <f>Setup!B16</f>
        <v/>
      </c>
      <c r="C8" s="28" t="n">
        <v>1</v>
      </c>
      <c r="D8" s="28" t="n">
        <v>1</v>
      </c>
      <c r="E8" s="28" t="n">
        <v>1</v>
      </c>
      <c r="F8" s="28" t="n">
        <v>1</v>
      </c>
      <c r="G8" s="28" t="n">
        <v>0</v>
      </c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9">
        <f>IF(COUNTA(C8:AF8)=0,0,IF(INDIRECT("R8C"&amp;(2+COUNTA(C8:AF8)),FALSE)=1,COUNTA(C8:AF8)-IFERROR(MATCH(0,INDEX(C8:AF8,SEQUENCE(COUNTA(C8:AF8),1,COUNTA(C8:AF8),-1)),0),COUNTA(C8:AF8))+1,0))</f>
        <v/>
      </c>
      <c r="AH8" s="30">
        <f>IF(COUNTA(C8:AF8)=0,0,MAX(FREQUENCY(IF(C8:AF8=1,COLUMN(C8:AF8)),IF(C8:AF8&lt;&gt;1,COLUMN(C8:AF8)))))</f>
        <v/>
      </c>
      <c r="AI8" s="31">
        <f>IF(COUNTA(C8:AF8)=0,"",COUNTIF(C8:AF8,1)/COUNTA(C8:AF8))</f>
        <v/>
      </c>
    </row>
    <row r="9" ht="28" customHeight="1">
      <c r="A9" s="10" t="n">
        <v>7</v>
      </c>
      <c r="B9" s="27">
        <f>Setup!B17</f>
        <v/>
      </c>
      <c r="C9" s="28" t="n">
        <v>0</v>
      </c>
      <c r="D9" s="28" t="n">
        <v>1</v>
      </c>
      <c r="E9" s="28" t="n">
        <v>1</v>
      </c>
      <c r="F9" s="28" t="n">
        <v>0</v>
      </c>
      <c r="G9" s="28" t="n">
        <v>1</v>
      </c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9">
        <f>IF(COUNTA(C9:AF9)=0,0,IF(INDIRECT("R9C"&amp;(2+COUNTA(C9:AF9)),FALSE)=1,COUNTA(C9:AF9)-IFERROR(MATCH(0,INDEX(C9:AF9,SEQUENCE(COUNTA(C9:AF9),1,COUNTA(C9:AF9),-1)),0),COUNTA(C9:AF9))+1,0))</f>
        <v/>
      </c>
      <c r="AH9" s="30">
        <f>IF(COUNTA(C9:AF9)=0,0,MAX(FREQUENCY(IF(C9:AF9=1,COLUMN(C9:AF9)),IF(C9:AF9&lt;&gt;1,COLUMN(C9:AF9)))))</f>
        <v/>
      </c>
      <c r="AI9" s="31">
        <f>IF(COUNTA(C9:AF9)=0,"",COUNTIF(C9:AF9,1)/COUNTA(C9:AF9))</f>
        <v/>
      </c>
    </row>
    <row r="10" ht="28" customHeight="1">
      <c r="A10" s="10" t="n">
        <v>8</v>
      </c>
      <c r="B10" s="32">
        <f>Setup!B18</f>
        <v/>
      </c>
      <c r="C10" s="28" t="n">
        <v>1</v>
      </c>
      <c r="D10" s="28" t="n">
        <v>1</v>
      </c>
      <c r="E10" s="28" t="n">
        <v>1</v>
      </c>
      <c r="F10" s="28" t="n">
        <v>1</v>
      </c>
      <c r="G10" s="28" t="n">
        <v>1</v>
      </c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9">
        <f>IF(COUNTA(C10:AF10)=0,0,IF(INDIRECT("R10C"&amp;(2+COUNTA(C10:AF10)),FALSE)=1,COUNTA(C10:AF10)-IFERROR(MATCH(0,INDEX(C10:AF10,SEQUENCE(COUNTA(C10:AF10),1,COUNTA(C10:AF10),-1)),0),COUNTA(C10:AF10))+1,0))</f>
        <v/>
      </c>
      <c r="AH10" s="30">
        <f>IF(COUNTA(C10:AF10)=0,0,MAX(FREQUENCY(IF(C10:AF10=1,COLUMN(C10:AF10)),IF(C10:AF10&lt;&gt;1,COLUMN(C10:AF10)))))</f>
        <v/>
      </c>
      <c r="AI10" s="31">
        <f>IF(COUNTA(C10:AF10)=0,"",COUNTIF(C10:AF10,1)/COUNTA(C10:AF10))</f>
        <v/>
      </c>
    </row>
    <row r="12" ht="8" customHeight="1"/>
    <row r="13">
      <c r="B13" s="33" t="inlineStr">
        <is>
          <t>DAILY COMPLETION %</t>
        </is>
      </c>
      <c r="C13" s="34">
        <f>IF(COUNTA(C3:C10)=0,"",COUNTIF(C3:C10,1)/COUNTA(C3:C10))</f>
        <v/>
      </c>
      <c r="D13" s="34">
        <f>IF(COUNTA(C3:C10)=0,"",COUNTIF(D3:D10,1)/COUNTA(D3:D10))</f>
        <v/>
      </c>
      <c r="E13" s="34">
        <f>IF(COUNTA(C3:C10)=0,"",COUNTIF(E3:E10,1)/COUNTA(E3:E10))</f>
        <v/>
      </c>
      <c r="F13" s="34">
        <f>IF(COUNTA(C3:C10)=0,"",COUNTIF(F3:F10,1)/COUNTA(F3:F10))</f>
        <v/>
      </c>
      <c r="G13" s="34">
        <f>IF(COUNTA(C3:C10)=0,"",COUNTIF(G3:G10,1)/COUNTA(G3:G10))</f>
        <v/>
      </c>
      <c r="H13" s="34">
        <f>IF(COUNTA(C3:C10)=0,"",COUNTIF(H3:H10,1)/COUNTA(H3:H10))</f>
        <v/>
      </c>
      <c r="I13" s="34">
        <f>IF(COUNTA(C3:C10)=0,"",COUNTIF(I3:I10,1)/COUNTA(I3:I10))</f>
        <v/>
      </c>
      <c r="J13" s="34">
        <f>IF(COUNTA(C3:C10)=0,"",COUNTIF(J3:J10,1)/COUNTA(J3:J10))</f>
        <v/>
      </c>
      <c r="K13" s="34">
        <f>IF(COUNTA(C3:C10)=0,"",COUNTIF(K3:K10,1)/COUNTA(K3:K10))</f>
        <v/>
      </c>
      <c r="L13" s="34">
        <f>IF(COUNTA(C3:C10)=0,"",COUNTIF(L3:L10,1)/COUNTA(L3:L10))</f>
        <v/>
      </c>
      <c r="M13" s="34">
        <f>IF(COUNTA(C3:C10)=0,"",COUNTIF(M3:M10,1)/COUNTA(M3:M10))</f>
        <v/>
      </c>
      <c r="N13" s="34">
        <f>IF(COUNTA(C3:C10)=0,"",COUNTIF(N3:N10,1)/COUNTA(N3:N10))</f>
        <v/>
      </c>
      <c r="O13" s="34">
        <f>IF(COUNTA(C3:C10)=0,"",COUNTIF(O3:O10,1)/COUNTA(O3:O10))</f>
        <v/>
      </c>
      <c r="P13" s="34">
        <f>IF(COUNTA(C3:C10)=0,"",COUNTIF(P3:P10,1)/COUNTA(P3:P10))</f>
        <v/>
      </c>
      <c r="Q13" s="34">
        <f>IF(COUNTA(C3:C10)=0,"",COUNTIF(Q3:Q10,1)/COUNTA(Q3:Q10))</f>
        <v/>
      </c>
      <c r="R13" s="34">
        <f>IF(COUNTA(C3:C10)=0,"",COUNTIF(R3:R10,1)/COUNTA(R3:R10))</f>
        <v/>
      </c>
      <c r="S13" s="34">
        <f>IF(COUNTA(C3:C10)=0,"",COUNTIF(S3:S10,1)/COUNTA(S3:S10))</f>
        <v/>
      </c>
      <c r="T13" s="34">
        <f>IF(COUNTA(C3:C10)=0,"",COUNTIF(T3:T10,1)/COUNTA(T3:T10))</f>
        <v/>
      </c>
      <c r="U13" s="34">
        <f>IF(COUNTA(C3:C10)=0,"",COUNTIF(U3:U10,1)/COUNTA(U3:U10))</f>
        <v/>
      </c>
      <c r="V13" s="34">
        <f>IF(COUNTA(C3:C10)=0,"",COUNTIF(V3:V10,1)/COUNTA(V3:V10))</f>
        <v/>
      </c>
      <c r="W13" s="34">
        <f>IF(COUNTA(C3:C10)=0,"",COUNTIF(W3:W10,1)/COUNTA(W3:W10))</f>
        <v/>
      </c>
      <c r="X13" s="34">
        <f>IF(COUNTA(C3:C10)=0,"",COUNTIF(X3:X10,1)/COUNTA(X3:X10))</f>
        <v/>
      </c>
      <c r="Y13" s="34">
        <f>IF(COUNTA(C3:C10)=0,"",COUNTIF(Y3:Y10,1)/COUNTA(Y3:Y10))</f>
        <v/>
      </c>
      <c r="Z13" s="34">
        <f>IF(COUNTA(C3:C10)=0,"",COUNTIF(Z3:Z10,1)/COUNTA(Z3:Z10))</f>
        <v/>
      </c>
      <c r="AA13" s="34">
        <f>IF(COUNTA(C3:C10)=0,"",COUNTIF(AA3:AA10,1)/COUNTA(AA3:AA10))</f>
        <v/>
      </c>
      <c r="AB13" s="34">
        <f>IF(COUNTA(C3:C10)=0,"",COUNTIF(AB3:AB10,1)/COUNTA(AB3:AB10))</f>
        <v/>
      </c>
      <c r="AC13" s="34">
        <f>IF(COUNTA(C3:C10)=0,"",COUNTIF(AC3:AC10,1)/COUNTA(AC3:AC10))</f>
        <v/>
      </c>
      <c r="AD13" s="34">
        <f>IF(COUNTA(C3:C10)=0,"",COUNTIF(AD3:AD10,1)/COUNTA(AD3:AD10))</f>
        <v/>
      </c>
      <c r="AE13" s="34">
        <f>IF(COUNTA(C3:C10)=0,"",COUNTIF(AE3:AE10,1)/COUNTA(AE3:AE10))</f>
        <v/>
      </c>
      <c r="AF13" s="34">
        <f>IF(COUNTA(C3:C10)=0,"",COUNTIF(AF3:AF10,1)/COUNTA(AF3:AF10))</f>
        <v/>
      </c>
    </row>
    <row r="15">
      <c r="B15" s="33" t="inlineStr">
        <is>
          <t>DAILY NOTES / REFLECTIONS</t>
        </is>
      </c>
    </row>
    <row r="16" ht="50" customHeight="1">
      <c r="C16" s="35" t="inlineStr">
        <is>
          <t>Great start! Missed the gym but stayed on track with everything else.</t>
        </is>
      </c>
      <c r="D16" s="35" t="inlineStr">
        <is>
          <t>Much better today. Got all my reading done.</t>
        </is>
      </c>
      <c r="E16" s="35" t="inlineStr">
        <is>
          <t>Tired but pushed through meditation.</t>
        </is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</row>
  </sheetData>
  <mergeCells count="1">
    <mergeCell ref="B1:AI1"/>
  </mergeCells>
  <conditionalFormatting sqref="C3:AF10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B1:H4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>
      <c r="B1" s="1" t="inlineStr">
        <is>
          <t>PROGRESS DASHBOARD</t>
        </is>
      </c>
      <c r="C1" s="1" t="n"/>
      <c r="D1" s="1" t="n"/>
      <c r="E1" s="1" t="n"/>
      <c r="F1" s="1" t="n"/>
      <c r="G1" s="1" t="n"/>
      <c r="H1" s="1" t="n"/>
    </row>
    <row r="2">
      <c r="B2" s="2" t="inlineStr">
        <is>
          <t>Your habit-building journey at a glance</t>
        </is>
      </c>
      <c r="C2" s="36" t="n"/>
      <c r="D2" s="36" t="n"/>
      <c r="E2" s="36" t="n"/>
      <c r="F2" s="36" t="n"/>
      <c r="G2" s="36" t="n"/>
      <c r="H2" s="36" t="n"/>
    </row>
    <row r="4">
      <c r="B4" s="37" t="inlineStr">
        <is>
          <t>OVERALL COMPLETION RATE</t>
        </is>
      </c>
      <c r="C4" s="4" t="n"/>
      <c r="D4" s="37" t="inlineStr">
        <is>
          <t>DAYS COMPLETED</t>
        </is>
      </c>
      <c r="E4" s="4" t="n"/>
      <c r="F4" s="37" t="inlineStr">
        <is>
          <t>ACTIVE HABITS</t>
        </is>
      </c>
      <c r="G4" s="4" t="n"/>
    </row>
    <row r="5" ht="55" customHeight="1">
      <c r="B5" s="38">
        <f>IFERROR(COUNTIF('30-Day Tracker'!C3:AF10,1)/COUNTA('30-Day Tracker'!C3:AF10),0)</f>
        <v/>
      </c>
      <c r="C5" s="39" t="n"/>
      <c r="D5" s="40">
        <f>IFERROR(MAX(COUNTA('30-Day Tracker'!C3:AF3),COUNTA('30-Day Tracker'!C4:AF4),COUNTA('30-Day Tracker'!C5:AF5),COUNTA('30-Day Tracker'!C6:AF6),COUNTA('30-Day Tracker'!C7:AF7),COUNTA('30-Day Tracker'!C8:AF8),COUNTA('30-Day Tracker'!C9:AF9),COUNTA('30-Day Tracker'!C10:AF10)),0)&amp;" of 30"</f>
        <v/>
      </c>
      <c r="F5" s="41">
        <f>COUNTA(Setup!B11:B18)</f>
        <v/>
      </c>
    </row>
    <row r="7">
      <c r="B7" s="42" t="inlineStr">
        <is>
          <t>PER-HABIT COMPLETION RATES</t>
        </is>
      </c>
      <c r="C7" s="43" t="n"/>
      <c r="D7" s="43" t="n"/>
      <c r="E7" s="43" t="n"/>
      <c r="F7" s="43" t="n"/>
      <c r="G7" s="43" t="n"/>
      <c r="H7" s="43" t="n"/>
    </row>
    <row r="8">
      <c r="B8" s="25" t="inlineStr">
        <is>
          <t>Habit</t>
        </is>
      </c>
      <c r="C8" s="25" t="inlineStr">
        <is>
          <t>Completion %</t>
        </is>
      </c>
      <c r="D8" s="25" t="inlineStr">
        <is>
          <t>Current Streak</t>
        </is>
      </c>
      <c r="E8" s="25" t="inlineStr">
        <is>
          <t>Best Streak</t>
        </is>
      </c>
      <c r="F8" s="25" t="inlineStr">
        <is>
          <t>Status</t>
        </is>
      </c>
      <c r="G8" s="25" t="inlineStr">
        <is>
          <t>Visual Progress</t>
        </is>
      </c>
    </row>
    <row r="9" ht="25" customHeight="1">
      <c r="B9" s="27">
        <f>Setup!B11</f>
        <v/>
      </c>
      <c r="C9" s="44">
        <f>'30-Day Tracker'!AI3</f>
        <v/>
      </c>
      <c r="D9" s="45">
        <f>'30-Day Tracker'!AG3</f>
        <v/>
      </c>
      <c r="E9" s="46">
        <f>'30-Day Tracker'!AH3</f>
        <v/>
      </c>
      <c r="F9" s="47">
        <f>IF(Setup!B11="","",IF('30-Day Tracker'!AI3&gt;=0.8,"Excellent",IF('30-Day Tracker'!AI3&gt;=0.6,"Good",IF('30-Day Tracker'!AI3&gt;=0.4,"Fair","Needs Work"))))</f>
        <v/>
      </c>
      <c r="G9" s="48">
        <f>IF(Setup!B11="","",REPT("|",ROUND(IFERROR('30-Day Tracker'!AI3,0)*20,0))&amp;REPT(".",20-ROUND(IFERROR('30-Day Tracker'!AI3,0)*20,0)))</f>
        <v/>
      </c>
    </row>
    <row r="10" ht="25" customHeight="1">
      <c r="B10" s="32">
        <f>Setup!B12</f>
        <v/>
      </c>
      <c r="C10" s="49">
        <f>'30-Day Tracker'!AI4</f>
        <v/>
      </c>
      <c r="D10" s="50">
        <f>'30-Day Tracker'!AG4</f>
        <v/>
      </c>
      <c r="E10" s="51">
        <f>'30-Day Tracker'!AH4</f>
        <v/>
      </c>
      <c r="F10" s="52">
        <f>IF(Setup!B12="","",IF('30-Day Tracker'!AI4&gt;=0.8,"Excellent",IF('30-Day Tracker'!AI4&gt;=0.6,"Good",IF('30-Day Tracker'!AI4&gt;=0.4,"Fair","Needs Work"))))</f>
        <v/>
      </c>
      <c r="G10" s="53">
        <f>IF(Setup!B12="","",REPT("|",ROUND(IFERROR('30-Day Tracker'!AI4,0)*20,0))&amp;REPT(".",20-ROUND(IFERROR('30-Day Tracker'!AI4,0)*20,0)))</f>
        <v/>
      </c>
    </row>
    <row r="11" ht="25" customHeight="1">
      <c r="B11" s="27">
        <f>Setup!B13</f>
        <v/>
      </c>
      <c r="C11" s="44">
        <f>'30-Day Tracker'!AI5</f>
        <v/>
      </c>
      <c r="D11" s="45">
        <f>'30-Day Tracker'!AG5</f>
        <v/>
      </c>
      <c r="E11" s="46">
        <f>'30-Day Tracker'!AH5</f>
        <v/>
      </c>
      <c r="F11" s="47">
        <f>IF(Setup!B13="","",IF('30-Day Tracker'!AI5&gt;=0.8,"Excellent",IF('30-Day Tracker'!AI5&gt;=0.6,"Good",IF('30-Day Tracker'!AI5&gt;=0.4,"Fair","Needs Work"))))</f>
        <v/>
      </c>
      <c r="G11" s="48">
        <f>IF(Setup!B13="","",REPT("|",ROUND(IFERROR('30-Day Tracker'!AI5,0)*20,0))&amp;REPT(".",20-ROUND(IFERROR('30-Day Tracker'!AI5,0)*20,0)))</f>
        <v/>
      </c>
    </row>
    <row r="12" ht="25" customHeight="1">
      <c r="B12" s="32">
        <f>Setup!B14</f>
        <v/>
      </c>
      <c r="C12" s="49">
        <f>'30-Day Tracker'!AI6</f>
        <v/>
      </c>
      <c r="D12" s="50">
        <f>'30-Day Tracker'!AG6</f>
        <v/>
      </c>
      <c r="E12" s="51">
        <f>'30-Day Tracker'!AH6</f>
        <v/>
      </c>
      <c r="F12" s="52">
        <f>IF(Setup!B14="","",IF('30-Day Tracker'!AI6&gt;=0.8,"Excellent",IF('30-Day Tracker'!AI6&gt;=0.6,"Good",IF('30-Day Tracker'!AI6&gt;=0.4,"Fair","Needs Work"))))</f>
        <v/>
      </c>
      <c r="G12" s="53">
        <f>IF(Setup!B14="","",REPT("|",ROUND(IFERROR('30-Day Tracker'!AI6,0)*20,0))&amp;REPT(".",20-ROUND(IFERROR('30-Day Tracker'!AI6,0)*20,0)))</f>
        <v/>
      </c>
    </row>
    <row r="13" ht="25" customHeight="1">
      <c r="B13" s="27">
        <f>Setup!B15</f>
        <v/>
      </c>
      <c r="C13" s="44">
        <f>'30-Day Tracker'!AI7</f>
        <v/>
      </c>
      <c r="D13" s="45">
        <f>'30-Day Tracker'!AG7</f>
        <v/>
      </c>
      <c r="E13" s="46">
        <f>'30-Day Tracker'!AH7</f>
        <v/>
      </c>
      <c r="F13" s="47">
        <f>IF(Setup!B15="","",IF('30-Day Tracker'!AI7&gt;=0.8,"Excellent",IF('30-Day Tracker'!AI7&gt;=0.6,"Good",IF('30-Day Tracker'!AI7&gt;=0.4,"Fair","Needs Work"))))</f>
        <v/>
      </c>
      <c r="G13" s="48">
        <f>IF(Setup!B15="","",REPT("|",ROUND(IFERROR('30-Day Tracker'!AI7,0)*20,0))&amp;REPT(".",20-ROUND(IFERROR('30-Day Tracker'!AI7,0)*20,0)))</f>
        <v/>
      </c>
    </row>
    <row r="14" ht="25" customHeight="1">
      <c r="B14" s="32">
        <f>Setup!B16</f>
        <v/>
      </c>
      <c r="C14" s="49">
        <f>'30-Day Tracker'!AI8</f>
        <v/>
      </c>
      <c r="D14" s="50">
        <f>'30-Day Tracker'!AG8</f>
        <v/>
      </c>
      <c r="E14" s="51">
        <f>'30-Day Tracker'!AH8</f>
        <v/>
      </c>
      <c r="F14" s="52">
        <f>IF(Setup!B16="","",IF('30-Day Tracker'!AI8&gt;=0.8,"Excellent",IF('30-Day Tracker'!AI8&gt;=0.6,"Good",IF('30-Day Tracker'!AI8&gt;=0.4,"Fair","Needs Work"))))</f>
        <v/>
      </c>
      <c r="G14" s="53">
        <f>IF(Setup!B16="","",REPT("|",ROUND(IFERROR('30-Day Tracker'!AI8,0)*20,0))&amp;REPT(".",20-ROUND(IFERROR('30-Day Tracker'!AI8,0)*20,0)))</f>
        <v/>
      </c>
    </row>
    <row r="15" ht="25" customHeight="1">
      <c r="B15" s="27">
        <f>Setup!B17</f>
        <v/>
      </c>
      <c r="C15" s="44">
        <f>'30-Day Tracker'!AI9</f>
        <v/>
      </c>
      <c r="D15" s="45">
        <f>'30-Day Tracker'!AG9</f>
        <v/>
      </c>
      <c r="E15" s="46">
        <f>'30-Day Tracker'!AH9</f>
        <v/>
      </c>
      <c r="F15" s="47">
        <f>IF(Setup!B17="","",IF('30-Day Tracker'!AI9&gt;=0.8,"Excellent",IF('30-Day Tracker'!AI9&gt;=0.6,"Good",IF('30-Day Tracker'!AI9&gt;=0.4,"Fair","Needs Work"))))</f>
        <v/>
      </c>
      <c r="G15" s="48">
        <f>IF(Setup!B17="","",REPT("|",ROUND(IFERROR('30-Day Tracker'!AI9,0)*20,0))&amp;REPT(".",20-ROUND(IFERROR('30-Day Tracker'!AI9,0)*20,0)))</f>
        <v/>
      </c>
    </row>
    <row r="16" ht="25" customHeight="1">
      <c r="B16" s="32">
        <f>Setup!B18</f>
        <v/>
      </c>
      <c r="C16" s="49">
        <f>'30-Day Tracker'!AI10</f>
        <v/>
      </c>
      <c r="D16" s="50">
        <f>'30-Day Tracker'!AG10</f>
        <v/>
      </c>
      <c r="E16" s="51">
        <f>'30-Day Tracker'!AH10</f>
        <v/>
      </c>
      <c r="F16" s="52">
        <f>IF(Setup!B18="","",IF('30-Day Tracker'!AI10&gt;=0.8,"Excellent",IF('30-Day Tracker'!AI10&gt;=0.6,"Good",IF('30-Day Tracker'!AI10&gt;=0.4,"Fair","Needs Work"))))</f>
        <v/>
      </c>
      <c r="G16" s="53">
        <f>IF(Setup!B18="","",REPT("|",ROUND(IFERROR('30-Day Tracker'!AI10,0)*20,0))&amp;REPT(".",20-ROUND(IFERROR('30-Day Tracker'!AI10,0)*20,0)))</f>
        <v/>
      </c>
    </row>
    <row r="19">
      <c r="B19" s="42" t="inlineStr">
        <is>
          <t>WEEKLY BREAKDOWN</t>
        </is>
      </c>
      <c r="C19" s="43" t="n"/>
      <c r="D19" s="43" t="n"/>
      <c r="E19" s="43" t="n"/>
      <c r="F19" s="43" t="n"/>
      <c r="G19" s="43" t="n"/>
      <c r="H19" s="43" t="n"/>
    </row>
    <row r="20">
      <c r="B20" s="25" t="inlineStr">
        <is>
          <t>Week</t>
        </is>
      </c>
      <c r="C20" s="25" t="inlineStr">
        <is>
          <t>Days</t>
        </is>
      </c>
      <c r="D20" s="25" t="inlineStr">
        <is>
          <t>Completion Rate</t>
        </is>
      </c>
      <c r="E20" s="25" t="inlineStr">
        <is>
          <t>Visual</t>
        </is>
      </c>
    </row>
    <row r="21">
      <c r="B21" s="47" t="inlineStr">
        <is>
          <t>Week 1</t>
        </is>
      </c>
      <c r="C21" s="54" t="inlineStr">
        <is>
          <t>Days 1-7</t>
        </is>
      </c>
      <c r="D21" s="44">
        <f>IFERROR(COUNTIF('30-Day Tracker'!C3:I10,1)/COUNTA('30-Day Tracker'!C3:I10),0)</f>
        <v/>
      </c>
      <c r="E21" s="55">
        <f>REPT("|",ROUND(D21*20,0))&amp;REPT(".",20-ROUND(D21*20,0))</f>
        <v/>
      </c>
    </row>
    <row r="22">
      <c r="B22" s="52" t="inlineStr">
        <is>
          <t>Week 2</t>
        </is>
      </c>
      <c r="C22" s="56" t="inlineStr">
        <is>
          <t>Days 8-14</t>
        </is>
      </c>
      <c r="D22" s="49">
        <f>IFERROR(COUNTIF('30-Day Tracker'!J3:P10,1)/COUNTA('30-Day Tracker'!J3:P10),0)</f>
        <v/>
      </c>
      <c r="E22" s="57">
        <f>REPT("|",ROUND(D22*20,0))&amp;REPT(".",20-ROUND(D22*20,0))</f>
        <v/>
      </c>
    </row>
    <row r="23">
      <c r="B23" s="47" t="inlineStr">
        <is>
          <t>Week 3</t>
        </is>
      </c>
      <c r="C23" s="54" t="inlineStr">
        <is>
          <t>Days 15-21</t>
        </is>
      </c>
      <c r="D23" s="44">
        <f>IFERROR(COUNTIF('30-Day Tracker'!Q3:W10,1)/COUNTA('30-Day Tracker'!Q3:W10),0)</f>
        <v/>
      </c>
      <c r="E23" s="55">
        <f>REPT("|",ROUND(D23*20,0))&amp;REPT(".",20-ROUND(D23*20,0))</f>
        <v/>
      </c>
    </row>
    <row r="24">
      <c r="B24" s="52" t="inlineStr">
        <is>
          <t>Week 4</t>
        </is>
      </c>
      <c r="C24" s="56" t="inlineStr">
        <is>
          <t>Days 22-30</t>
        </is>
      </c>
      <c r="D24" s="49">
        <f>IFERROR(COUNTIF('30-Day Tracker'!X3:AF10,1)/COUNTA('30-Day Tracker'!X3:AF10),0)</f>
        <v/>
      </c>
      <c r="E24" s="57">
        <f>REPT("|",ROUND(D24*20,0))&amp;REPT(".",20-ROUND(D24*20,0))</f>
        <v/>
      </c>
    </row>
    <row r="27">
      <c r="B27" s="42" t="inlineStr">
        <is>
          <t>CATEGORY PERFORMANCE</t>
        </is>
      </c>
      <c r="C27" s="43" t="n"/>
      <c r="D27" s="43" t="n"/>
      <c r="E27" s="43" t="n"/>
      <c r="F27" s="43" t="n"/>
      <c r="G27" s="43" t="n"/>
      <c r="H27" s="43" t="n"/>
    </row>
    <row r="28">
      <c r="B28" s="25" t="inlineStr">
        <is>
          <t>Category</t>
        </is>
      </c>
      <c r="C28" s="25" t="inlineStr">
        <is>
          <t>Avg Completion</t>
        </is>
      </c>
      <c r="D28" s="25" t="inlineStr">
        <is>
          <t>Visual</t>
        </is>
      </c>
    </row>
    <row r="29">
      <c r="B29" s="13" t="inlineStr">
        <is>
          <t>Health</t>
        </is>
      </c>
      <c r="C29" s="58">
        <f>IFERROR(AVERAGEIF(Setup!C11:C18,"Health",'30-Day Tracker'!AI3:AI10),"")</f>
        <v/>
      </c>
      <c r="D29" s="59">
        <f>IF(C29="","",REPT("|",ROUND(C29*20,0))&amp;REPT(".",20-ROUND(C29*20,0)))</f>
        <v/>
      </c>
    </row>
    <row r="30">
      <c r="B30" s="14" t="inlineStr">
        <is>
          <t>Productivity</t>
        </is>
      </c>
      <c r="C30" s="60">
        <f>IFERROR(AVERAGEIF(Setup!C11:C18,"Productivity",'30-Day Tracker'!AI3:AI10),"")</f>
        <v/>
      </c>
      <c r="D30" s="61">
        <f>IF(C30="","",REPT("|",ROUND(C30*20,0))&amp;REPT(".",20-ROUND(C30*20,0)))</f>
        <v/>
      </c>
    </row>
    <row r="31">
      <c r="B31" s="15" t="inlineStr">
        <is>
          <t>Learning</t>
        </is>
      </c>
      <c r="C31" s="58">
        <f>IFERROR(AVERAGEIF(Setup!C11:C18,"Learning",'30-Day Tracker'!AI3:AI10),"")</f>
        <v/>
      </c>
      <c r="D31" s="62">
        <f>IF(C31="","",REPT("|",ROUND(C31*20,0))&amp;REPT(".",20-ROUND(C31*20,0)))</f>
        <v/>
      </c>
    </row>
    <row r="32">
      <c r="B32" s="16" t="inlineStr">
        <is>
          <t>Mindfulness</t>
        </is>
      </c>
      <c r="C32" s="60">
        <f>IFERROR(AVERAGEIF(Setup!C11:C18,"Mindfulness",'30-Day Tracker'!AI3:AI10),"")</f>
        <v/>
      </c>
      <c r="D32" s="57">
        <f>IF(C32="","",REPT("|",ROUND(C32*20,0))&amp;REPT(".",20-ROUND(C32*20,0)))</f>
        <v/>
      </c>
    </row>
    <row r="33">
      <c r="B33" s="17" t="inlineStr">
        <is>
          <t>Fitness</t>
        </is>
      </c>
      <c r="C33" s="58">
        <f>IFERROR(AVERAGEIF(Setup!C11:C18,"Fitness",'30-Day Tracker'!AI3:AI10),"")</f>
        <v/>
      </c>
      <c r="D33" s="63">
        <f>IF(C33="","",REPT("|",ROUND(C33*20,0))&amp;REPT(".",20-ROUND(C33*20,0)))</f>
        <v/>
      </c>
    </row>
    <row r="34">
      <c r="B34" s="18" t="inlineStr">
        <is>
          <t>Creative</t>
        </is>
      </c>
      <c r="C34" s="60">
        <f>IFERROR(AVERAGEIF(Setup!C11:C18,"Creative",'30-Day Tracker'!AI3:AI10),"")</f>
        <v/>
      </c>
      <c r="D34" s="64">
        <f>IF(C34="","",REPT("|",ROUND(C34*20,0))&amp;REPT(".",20-ROUND(C34*20,0)))</f>
        <v/>
      </c>
    </row>
    <row r="35">
      <c r="B35" s="19" t="inlineStr">
        <is>
          <t>Social</t>
        </is>
      </c>
      <c r="C35" s="58">
        <f>IFERROR(AVERAGEIF(Setup!C11:C18,"Social",'30-Day Tracker'!AI3:AI10),"")</f>
        <v/>
      </c>
      <c r="D35" s="65">
        <f>IF(C35="","",REPT("|",ROUND(C35*20,0))&amp;REPT(".",20-ROUND(C35*20,0)))</f>
        <v/>
      </c>
    </row>
    <row r="36">
      <c r="B36" s="20" t="inlineStr">
        <is>
          <t>Custom</t>
        </is>
      </c>
      <c r="C36" s="60">
        <f>IFERROR(AVERAGEIF(Setup!C11:C18,"Custom",'30-Day Tracker'!AI3:AI10),"")</f>
        <v/>
      </c>
      <c r="D36" s="66">
        <f>IF(C36="","",REPT("|",ROUND(C36*20,0))&amp;REPT(".",20-ROUND(C36*20,0)))</f>
        <v/>
      </c>
    </row>
    <row r="39">
      <c r="B39" s="42" t="inlineStr">
        <is>
          <t>MILESTONE TRACKER</t>
        </is>
      </c>
      <c r="C39" s="43" t="n"/>
      <c r="D39" s="43" t="n"/>
      <c r="E39" s="43" t="n"/>
      <c r="F39" s="43" t="n"/>
      <c r="G39" s="43" t="n"/>
      <c r="H39" s="43" t="n"/>
    </row>
    <row r="40" ht="30" customHeight="1">
      <c r="B40" s="67" t="inlineStr">
        <is>
          <t>1 WEEK</t>
        </is>
      </c>
      <c r="C40" s="45">
        <f>IF(IFERROR(MAX(COUNTA('30-Day Tracker'!C3:AF3),COUNTA('30-Day Tracker'!C4:AF4),COUNTA('30-Day Tracker'!C5:AF5),COUNTA('30-Day Tracker'!C6:AF6),COUNTA('30-Day Tracker'!C7:AF7),COUNTA('30-Day Tracker'!C8:AF8),COUNTA('30-Day Tracker'!C9:AF9),COUNTA('30-Day Tracker'!C10:AF10)),0)&gt;=7,"ACHIEVED","In Progress")</f>
        <v/>
      </c>
      <c r="D40" s="68" t="inlineStr">
        <is>
          <t>You've built the foundation!</t>
        </is>
      </c>
    </row>
    <row r="41" ht="30" customHeight="1">
      <c r="B41" s="69" t="inlineStr">
        <is>
          <t>2 WEEKS</t>
        </is>
      </c>
      <c r="C41" s="50">
        <f>IF(IFERROR(MAX(COUNTA('30-Day Tracker'!C3:AF3),COUNTA('30-Day Tracker'!C4:AF4),COUNTA('30-Day Tracker'!C5:AF5),COUNTA('30-Day Tracker'!C6:AF6),COUNTA('30-Day Tracker'!C7:AF7),COUNTA('30-Day Tracker'!C8:AF8),COUNTA('30-Day Tracker'!C9:AF9),COUNTA('30-Day Tracker'!C10:AF10)),0)&gt;=14,"ACHIEVED","In Progress")</f>
        <v/>
      </c>
      <c r="D41" s="70" t="inlineStr">
        <is>
          <t>You're forming real habits!</t>
        </is>
      </c>
    </row>
    <row r="42" ht="30" customHeight="1">
      <c r="B42" s="67" t="inlineStr">
        <is>
          <t>3 WEEKS</t>
        </is>
      </c>
      <c r="C42" s="45">
        <f>IF(IFERROR(MAX(COUNTA('30-Day Tracker'!C3:AF3),COUNTA('30-Day Tracker'!C4:AF4),COUNTA('30-Day Tracker'!C5:AF5),COUNTA('30-Day Tracker'!C6:AF6),COUNTA('30-Day Tracker'!C7:AF7),COUNTA('30-Day Tracker'!C8:AF8),COUNTA('30-Day Tracker'!C9:AF9),COUNTA('30-Day Tracker'!C10:AF10)),0)&gt;=21,"ACHIEVED","In Progress")</f>
        <v/>
      </c>
      <c r="D42" s="68" t="inlineStr">
        <is>
          <t>Science says this is when habits stick!</t>
        </is>
      </c>
    </row>
    <row r="43" ht="30" customHeight="1">
      <c r="B43" s="69" t="inlineStr">
        <is>
          <t>30 DAYS</t>
        </is>
      </c>
      <c r="C43" s="50">
        <f>IF(IFERROR(MAX(COUNTA('30-Day Tracker'!C3:AF3),COUNTA('30-Day Tracker'!C4:AF4),COUNTA('30-Day Tracker'!C5:AF5),COUNTA('30-Day Tracker'!C6:AF6),COUNTA('30-Day Tracker'!C7:AF7),COUNTA('30-Day Tracker'!C8:AF8),COUNTA('30-Day Tracker'!C9:AF9),COUNTA('30-Day Tracker'!C10:AF10)),0)&gt;=30,"ACHIEVED","In Progress")</f>
        <v/>
      </c>
      <c r="D43" s="70" t="inlineStr">
        <is>
          <t>CONGRATULATIONS! You did it!</t>
        </is>
      </c>
    </row>
  </sheetData>
  <mergeCells count="16">
    <mergeCell ref="F4:G4"/>
    <mergeCell ref="B27:H27"/>
    <mergeCell ref="B1:H1"/>
    <mergeCell ref="D43:H43"/>
    <mergeCell ref="B5:C5"/>
    <mergeCell ref="D42:H42"/>
    <mergeCell ref="F5:G5"/>
    <mergeCell ref="D5:E5"/>
    <mergeCell ref="B39:H39"/>
    <mergeCell ref="B2:H2"/>
    <mergeCell ref="D4:E4"/>
    <mergeCell ref="D41:H41"/>
    <mergeCell ref="B7:H7"/>
    <mergeCell ref="B19:H19"/>
    <mergeCell ref="D40:H40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B1:C50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50" customWidth="1" min="3" max="3"/>
    <col width="5" customWidth="1" min="4" max="4"/>
  </cols>
  <sheetData>
    <row r="1">
      <c r="B1" s="23" t="inlineStr">
        <is>
          <t>WEEKLY REVIEW &amp; REFLECTION</t>
        </is>
      </c>
      <c r="C1" s="23" t="n"/>
    </row>
    <row r="2">
      <c r="B2" s="2" t="inlineStr">
        <is>
          <t>Take 10 minutes each week to reflect on your progress</t>
        </is>
      </c>
      <c r="C2" s="36" t="n"/>
    </row>
    <row r="4">
      <c r="B4" s="71" t="inlineStr">
        <is>
          <t>WEEK 1 REVIEW (Days 1-7)</t>
        </is>
      </c>
      <c r="C4" s="43" t="n"/>
    </row>
    <row r="5">
      <c r="B5" s="72" t="inlineStr">
        <is>
          <t>Week Completion Rate:</t>
        </is>
      </c>
      <c r="C5" s="73">
        <f>IFERROR(COUNTIF('30-Day Tracker'!C3:I10,1)/COUNTA('30-Day Tracker'!C3:I10),0)</f>
        <v/>
      </c>
    </row>
    <row r="6">
      <c r="B6" s="72" t="inlineStr">
        <is>
          <t>Habits Completed:</t>
        </is>
      </c>
      <c r="C6" s="52">
        <f>COUNTIF('30-Day Tracker'!C3:I10,1)&amp;" / "&amp;COUNTA('30-Day Tracker'!C3:I10)</f>
        <v/>
      </c>
    </row>
    <row r="7">
      <c r="B7" s="74" t="inlineStr">
        <is>
          <t>What went well this week?</t>
        </is>
      </c>
    </row>
    <row r="8" ht="60" customHeight="1">
      <c r="B8" s="75" t="inlineStr">
        <is>
          <t>What habits did you nail? What felt easy or natural?</t>
        </is>
      </c>
      <c r="C8" s="76" t="n"/>
    </row>
    <row r="9">
      <c r="B9" s="74" t="inlineStr">
        <is>
          <t>What was challenging?</t>
        </is>
      </c>
    </row>
    <row r="10" ht="60" customHeight="1">
      <c r="B10" s="75" t="inlineStr">
        <is>
          <t>Which habits did you miss? What got in the way?</t>
        </is>
      </c>
      <c r="C10" s="76" t="n"/>
    </row>
    <row r="11">
      <c r="B11" s="74" t="inlineStr">
        <is>
          <t>What will you adjust?</t>
        </is>
      </c>
    </row>
    <row r="12" ht="60" customHeight="1">
      <c r="B12" s="75" t="inlineStr">
        <is>
          <t>Any habits to modify, swap, or approach differently?</t>
        </is>
      </c>
      <c r="C12" s="76" t="n"/>
    </row>
    <row r="13">
      <c r="B13" s="74" t="inlineStr">
        <is>
          <t>Focus for Next Week:</t>
        </is>
      </c>
    </row>
    <row r="14" ht="60" customHeight="1">
      <c r="B14" s="75" t="inlineStr">
        <is>
          <t>What one thing will make the biggest difference?</t>
        </is>
      </c>
      <c r="C14" s="76" t="n"/>
    </row>
    <row r="16">
      <c r="B16" s="71" t="inlineStr">
        <is>
          <t>WEEK 2 REVIEW (Days 8-14)</t>
        </is>
      </c>
      <c r="C16" s="43" t="n"/>
    </row>
    <row r="17">
      <c r="B17" s="72" t="inlineStr">
        <is>
          <t>Week Completion Rate:</t>
        </is>
      </c>
      <c r="C17" s="73">
        <f>IFERROR(COUNTIF('30-Day Tracker'!J3:P10,1)/COUNTA('30-Day Tracker'!J3:P10),0)</f>
        <v/>
      </c>
    </row>
    <row r="18">
      <c r="B18" s="72" t="inlineStr">
        <is>
          <t>Habits Completed:</t>
        </is>
      </c>
      <c r="C18" s="52">
        <f>COUNTIF('30-Day Tracker'!J3:P10,1)&amp;" / "&amp;COUNTA('30-Day Tracker'!J3:P10)</f>
        <v/>
      </c>
    </row>
    <row r="19">
      <c r="B19" s="74" t="inlineStr">
        <is>
          <t>What went well this week?</t>
        </is>
      </c>
    </row>
    <row r="20" ht="60" customHeight="1">
      <c r="B20" s="75" t="inlineStr">
        <is>
          <t>What habits did you nail? What felt easy or natural?</t>
        </is>
      </c>
      <c r="C20" s="76" t="n"/>
    </row>
    <row r="21">
      <c r="B21" s="74" t="inlineStr">
        <is>
          <t>What was challenging?</t>
        </is>
      </c>
    </row>
    <row r="22" ht="60" customHeight="1">
      <c r="B22" s="75" t="inlineStr">
        <is>
          <t>Which habits did you miss? What got in the way?</t>
        </is>
      </c>
      <c r="C22" s="76" t="n"/>
    </row>
    <row r="23">
      <c r="B23" s="74" t="inlineStr">
        <is>
          <t>What will you adjust?</t>
        </is>
      </c>
    </row>
    <row r="24" ht="60" customHeight="1">
      <c r="B24" s="75" t="inlineStr">
        <is>
          <t>Any habits to modify, swap, or approach differently?</t>
        </is>
      </c>
      <c r="C24" s="76" t="n"/>
    </row>
    <row r="25">
      <c r="B25" s="74" t="inlineStr">
        <is>
          <t>Focus for Next Week:</t>
        </is>
      </c>
    </row>
    <row r="26" ht="60" customHeight="1">
      <c r="B26" s="75" t="inlineStr">
        <is>
          <t>What one thing will make the biggest difference?</t>
        </is>
      </c>
      <c r="C26" s="76" t="n"/>
    </row>
    <row r="28">
      <c r="B28" s="71" t="inlineStr">
        <is>
          <t>WEEK 3 REVIEW (Days 15-21)</t>
        </is>
      </c>
      <c r="C28" s="43" t="n"/>
    </row>
    <row r="29">
      <c r="B29" s="72" t="inlineStr">
        <is>
          <t>Week Completion Rate:</t>
        </is>
      </c>
      <c r="C29" s="73">
        <f>IFERROR(COUNTIF('30-Day Tracker'!Q3:W10,1)/COUNTA('30-Day Tracker'!Q3:W10),0)</f>
        <v/>
      </c>
    </row>
    <row r="30">
      <c r="B30" s="72" t="inlineStr">
        <is>
          <t>Habits Completed:</t>
        </is>
      </c>
      <c r="C30" s="52">
        <f>COUNTIF('30-Day Tracker'!Q3:W10,1)&amp;" / "&amp;COUNTA('30-Day Tracker'!Q3:W10)</f>
        <v/>
      </c>
    </row>
    <row r="31">
      <c r="B31" s="74" t="inlineStr">
        <is>
          <t>What went well this week?</t>
        </is>
      </c>
    </row>
    <row r="32" ht="60" customHeight="1">
      <c r="B32" s="75" t="inlineStr">
        <is>
          <t>What habits did you nail? What felt easy or natural?</t>
        </is>
      </c>
      <c r="C32" s="76" t="n"/>
    </row>
    <row r="33">
      <c r="B33" s="74" t="inlineStr">
        <is>
          <t>What was challenging?</t>
        </is>
      </c>
    </row>
    <row r="34" ht="60" customHeight="1">
      <c r="B34" s="75" t="inlineStr">
        <is>
          <t>Which habits did you miss? What got in the way?</t>
        </is>
      </c>
      <c r="C34" s="76" t="n"/>
    </row>
    <row r="35">
      <c r="B35" s="74" t="inlineStr">
        <is>
          <t>What will you adjust?</t>
        </is>
      </c>
    </row>
    <row r="36" ht="60" customHeight="1">
      <c r="B36" s="75" t="inlineStr">
        <is>
          <t>Any habits to modify, swap, or approach differently?</t>
        </is>
      </c>
      <c r="C36" s="76" t="n"/>
    </row>
    <row r="37">
      <c r="B37" s="74" t="inlineStr">
        <is>
          <t>Focus for Next Week:</t>
        </is>
      </c>
    </row>
    <row r="38" ht="60" customHeight="1">
      <c r="B38" s="75" t="inlineStr">
        <is>
          <t>What one thing will make the biggest difference?</t>
        </is>
      </c>
      <c r="C38" s="76" t="n"/>
    </row>
    <row r="40">
      <c r="B40" s="71" t="inlineStr">
        <is>
          <t>WEEK 4 REVIEW (Days 22-28)</t>
        </is>
      </c>
      <c r="C40" s="43" t="n"/>
    </row>
    <row r="41">
      <c r="B41" s="72" t="inlineStr">
        <is>
          <t>Week Completion Rate:</t>
        </is>
      </c>
      <c r="C41" s="73">
        <f>IFERROR(COUNTIF('30-Day Tracker'!X3:AF10,1)/COUNTA('30-Day Tracker'!X3:AF10),0)</f>
        <v/>
      </c>
    </row>
    <row r="42">
      <c r="B42" s="72" t="inlineStr">
        <is>
          <t>Habits Completed:</t>
        </is>
      </c>
      <c r="C42" s="52">
        <f>COUNTIF('30-Day Tracker'!X3:AF10,1)&amp;" / "&amp;COUNTA('30-Day Tracker'!X3:AF10)</f>
        <v/>
      </c>
    </row>
    <row r="43">
      <c r="B43" s="74" t="inlineStr">
        <is>
          <t>What went well this week?</t>
        </is>
      </c>
    </row>
    <row r="44" ht="60" customHeight="1">
      <c r="B44" s="75" t="inlineStr">
        <is>
          <t>What habits did you nail? What felt easy or natural?</t>
        </is>
      </c>
      <c r="C44" s="76" t="n"/>
    </row>
    <row r="45">
      <c r="B45" s="74" t="inlineStr">
        <is>
          <t>What was challenging?</t>
        </is>
      </c>
    </row>
    <row r="46" ht="60" customHeight="1">
      <c r="B46" s="75" t="inlineStr">
        <is>
          <t>Which habits did you miss? What got in the way?</t>
        </is>
      </c>
      <c r="C46" s="76" t="n"/>
    </row>
    <row r="47">
      <c r="B47" s="74" t="inlineStr">
        <is>
          <t>What will you adjust?</t>
        </is>
      </c>
    </row>
    <row r="48" ht="60" customHeight="1">
      <c r="B48" s="75" t="inlineStr">
        <is>
          <t>Any habits to modify, swap, or approach differently?</t>
        </is>
      </c>
      <c r="C48" s="76" t="n"/>
    </row>
    <row r="49">
      <c r="B49" s="74" t="inlineStr">
        <is>
          <t>Focus for Going Forward:</t>
        </is>
      </c>
    </row>
    <row r="50" ht="60" customHeight="1">
      <c r="B50" s="75" t="inlineStr">
        <is>
          <t>What one thing will make the biggest difference?</t>
        </is>
      </c>
      <c r="C50" s="76" t="n"/>
    </row>
  </sheetData>
  <mergeCells count="22">
    <mergeCell ref="B16:C16"/>
    <mergeCell ref="B46:C46"/>
    <mergeCell ref="B22:C22"/>
    <mergeCell ref="B12:C12"/>
    <mergeCell ref="B2:C2"/>
    <mergeCell ref="B48:C48"/>
    <mergeCell ref="B14:C14"/>
    <mergeCell ref="B1:C1"/>
    <mergeCell ref="B8:C8"/>
    <mergeCell ref="B38:C38"/>
    <mergeCell ref="B44:C44"/>
    <mergeCell ref="B34:C34"/>
    <mergeCell ref="B10:C10"/>
    <mergeCell ref="B28:C28"/>
    <mergeCell ref="B40:C40"/>
    <mergeCell ref="B24:C24"/>
    <mergeCell ref="B20:C20"/>
    <mergeCell ref="B36:C36"/>
    <mergeCell ref="B32:C32"/>
    <mergeCell ref="B50:C50"/>
    <mergeCell ref="B26:C26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BC9C"/>
    <outlinePr summaryBelow="1" summaryRight="1"/>
    <pageSetUpPr/>
  </sheetPr>
  <dimension ref="B1:E6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4" customWidth="1" min="4" max="4"/>
    <col width="14" customWidth="1" min="5" max="5"/>
  </cols>
  <sheetData>
    <row r="1">
      <c r="B1" s="23" t="inlineStr">
        <is>
          <t>HABIT IDEAS BANK</t>
        </is>
      </c>
      <c r="C1" s="23" t="n"/>
      <c r="D1" s="23" t="n"/>
      <c r="E1" s="23" t="n"/>
    </row>
    <row r="2">
      <c r="B2" s="2" t="inlineStr">
        <is>
          <t>Browse 50+ ideas to find habits that work for you. Start with 3-4 Easy ones!</t>
        </is>
      </c>
      <c r="C2" s="36" t="n"/>
      <c r="D2" s="36" t="n"/>
      <c r="E2" s="36" t="n"/>
    </row>
    <row r="3">
      <c r="B3" s="24" t="inlineStr">
        <is>
          <t>Habit Idea</t>
        </is>
      </c>
      <c r="C3" s="24" t="inlineStr">
        <is>
          <t>Category</t>
        </is>
      </c>
      <c r="D3" s="24" t="inlineStr">
        <is>
          <t>Difficulty</t>
        </is>
      </c>
      <c r="E3" s="24" t="inlineStr">
        <is>
          <t>Time Needed</t>
        </is>
      </c>
    </row>
    <row r="4">
      <c r="B4" s="11" t="inlineStr">
        <is>
          <t>Drink 8 glasses of water</t>
        </is>
      </c>
      <c r="C4" s="77" t="inlineStr">
        <is>
          <t>Health</t>
        </is>
      </c>
      <c r="D4" s="78" t="inlineStr">
        <is>
          <t>Easy</t>
        </is>
      </c>
      <c r="E4" s="79" t="inlineStr">
        <is>
          <t>Throughout day</t>
        </is>
      </c>
    </row>
    <row r="5">
      <c r="B5" s="12" t="inlineStr">
        <is>
          <t>Sleep by 10:00 PM</t>
        </is>
      </c>
      <c r="C5" s="77" t="inlineStr">
        <is>
          <t>Health</t>
        </is>
      </c>
      <c r="D5" s="80" t="inlineStr">
        <is>
          <t>Medium</t>
        </is>
      </c>
      <c r="E5" s="81" t="inlineStr">
        <is>
          <t>N/A</t>
        </is>
      </c>
    </row>
    <row r="6">
      <c r="B6" s="11" t="inlineStr">
        <is>
          <t>Eat a serving of vegetables</t>
        </is>
      </c>
      <c r="C6" s="77" t="inlineStr">
        <is>
          <t>Health</t>
        </is>
      </c>
      <c r="D6" s="78" t="inlineStr">
        <is>
          <t>Easy</t>
        </is>
      </c>
      <c r="E6" s="79" t="inlineStr">
        <is>
          <t>At meals</t>
        </is>
      </c>
    </row>
    <row r="7">
      <c r="B7" s="12" t="inlineStr">
        <is>
          <t>No sugar or processed snacks</t>
        </is>
      </c>
      <c r="C7" s="77" t="inlineStr">
        <is>
          <t>Health</t>
        </is>
      </c>
      <c r="D7" s="82" t="inlineStr">
        <is>
          <t>Hard</t>
        </is>
      </c>
      <c r="E7" s="81" t="inlineStr">
        <is>
          <t>Throughout day</t>
        </is>
      </c>
    </row>
    <row r="8">
      <c r="B8" s="11" t="inlineStr">
        <is>
          <t>Walk for 10 minutes</t>
        </is>
      </c>
      <c r="C8" s="77" t="inlineStr">
        <is>
          <t>Health</t>
        </is>
      </c>
      <c r="D8" s="78" t="inlineStr">
        <is>
          <t>Easy</t>
        </is>
      </c>
      <c r="E8" s="79" t="inlineStr">
        <is>
          <t>10 min</t>
        </is>
      </c>
    </row>
    <row r="9">
      <c r="B9" s="12" t="inlineStr">
        <is>
          <t>Stretch for 5 minutes</t>
        </is>
      </c>
      <c r="C9" s="77" t="inlineStr">
        <is>
          <t>Health</t>
        </is>
      </c>
      <c r="D9" s="83" t="inlineStr">
        <is>
          <t>Easy</t>
        </is>
      </c>
      <c r="E9" s="81" t="inlineStr">
        <is>
          <t>5 min</t>
        </is>
      </c>
    </row>
    <row r="10">
      <c r="B10" s="11" t="inlineStr">
        <is>
          <t>Take vitamins/supplements</t>
        </is>
      </c>
      <c r="C10" s="77" t="inlineStr">
        <is>
          <t>Health</t>
        </is>
      </c>
      <c r="D10" s="78" t="inlineStr">
        <is>
          <t>Easy</t>
        </is>
      </c>
      <c r="E10" s="79" t="inlineStr">
        <is>
          <t>1 min</t>
        </is>
      </c>
    </row>
    <row r="11">
      <c r="B11" s="12" t="inlineStr">
        <is>
          <t>No eating after 8 PM</t>
        </is>
      </c>
      <c r="C11" s="77" t="inlineStr">
        <is>
          <t>Health</t>
        </is>
      </c>
      <c r="D11" s="80" t="inlineStr">
        <is>
          <t>Medium</t>
        </is>
      </c>
      <c r="E11" s="81" t="inlineStr">
        <is>
          <t>N/A</t>
        </is>
      </c>
    </row>
    <row r="12">
      <c r="B12" s="11" t="inlineStr">
        <is>
          <t>Cook a healthy meal</t>
        </is>
      </c>
      <c r="C12" s="77" t="inlineStr">
        <is>
          <t>Health</t>
        </is>
      </c>
      <c r="D12" s="84" t="inlineStr">
        <is>
          <t>Medium</t>
        </is>
      </c>
      <c r="E12" s="79" t="inlineStr">
        <is>
          <t>30 min</t>
        </is>
      </c>
    </row>
    <row r="14">
      <c r="B14" s="11" t="inlineStr">
        <is>
          <t>Plan tomorrow tonight</t>
        </is>
      </c>
      <c r="C14" s="85" t="inlineStr">
        <is>
          <t>Productivity</t>
        </is>
      </c>
      <c r="D14" s="78" t="inlineStr">
        <is>
          <t>Easy</t>
        </is>
      </c>
      <c r="E14" s="79" t="inlineStr">
        <is>
          <t>5 min</t>
        </is>
      </c>
    </row>
    <row r="15">
      <c r="B15" s="12" t="inlineStr">
        <is>
          <t>No phone for first hour</t>
        </is>
      </c>
      <c r="C15" s="85" t="inlineStr">
        <is>
          <t>Productivity</t>
        </is>
      </c>
      <c r="D15" s="80" t="inlineStr">
        <is>
          <t>Medium</t>
        </is>
      </c>
      <c r="E15" s="81" t="inlineStr">
        <is>
          <t>60 min</t>
        </is>
      </c>
    </row>
    <row r="16">
      <c r="B16" s="11" t="inlineStr">
        <is>
          <t>Time block your day</t>
        </is>
      </c>
      <c r="C16" s="85" t="inlineStr">
        <is>
          <t>Productivity</t>
        </is>
      </c>
      <c r="D16" s="84" t="inlineStr">
        <is>
          <t>Medium</t>
        </is>
      </c>
      <c r="E16" s="79" t="inlineStr">
        <is>
          <t>10 min</t>
        </is>
      </c>
    </row>
    <row r="17">
      <c r="B17" s="12" t="inlineStr">
        <is>
          <t>Inbox zero</t>
        </is>
      </c>
      <c r="C17" s="85" t="inlineStr">
        <is>
          <t>Productivity</t>
        </is>
      </c>
      <c r="D17" s="80" t="inlineStr">
        <is>
          <t>Medium</t>
        </is>
      </c>
      <c r="E17" s="81" t="inlineStr">
        <is>
          <t>15 min</t>
        </is>
      </c>
    </row>
    <row r="18">
      <c r="B18" s="11" t="inlineStr">
        <is>
          <t>Deep work for 1 hour</t>
        </is>
      </c>
      <c r="C18" s="85" t="inlineStr">
        <is>
          <t>Productivity</t>
        </is>
      </c>
      <c r="D18" s="86" t="inlineStr">
        <is>
          <t>Hard</t>
        </is>
      </c>
      <c r="E18" s="79" t="inlineStr">
        <is>
          <t>60 min</t>
        </is>
      </c>
    </row>
    <row r="19">
      <c r="B19" s="12" t="inlineStr">
        <is>
          <t>Review daily goals</t>
        </is>
      </c>
      <c r="C19" s="85" t="inlineStr">
        <is>
          <t>Productivity</t>
        </is>
      </c>
      <c r="D19" s="83" t="inlineStr">
        <is>
          <t>Easy</t>
        </is>
      </c>
      <c r="E19" s="81" t="inlineStr">
        <is>
          <t>5 min</t>
        </is>
      </c>
    </row>
    <row r="20">
      <c r="B20" s="11" t="inlineStr">
        <is>
          <t>Single-task (no multitasking)</t>
        </is>
      </c>
      <c r="C20" s="85" t="inlineStr">
        <is>
          <t>Productivity</t>
        </is>
      </c>
      <c r="D20" s="86" t="inlineStr">
        <is>
          <t>Hard</t>
        </is>
      </c>
      <c r="E20" s="79" t="inlineStr">
        <is>
          <t>Throughout day</t>
        </is>
      </c>
    </row>
    <row r="21">
      <c r="B21" s="12" t="inlineStr">
        <is>
          <t>Complete 1 important task first</t>
        </is>
      </c>
      <c r="C21" s="85" t="inlineStr">
        <is>
          <t>Productivity</t>
        </is>
      </c>
      <c r="D21" s="80" t="inlineStr">
        <is>
          <t>Medium</t>
        </is>
      </c>
      <c r="E21" s="81" t="inlineStr">
        <is>
          <t>30-60 min</t>
        </is>
      </c>
    </row>
    <row r="22">
      <c r="B22" s="11" t="inlineStr">
        <is>
          <t>Batch similar tasks together</t>
        </is>
      </c>
      <c r="C22" s="85" t="inlineStr">
        <is>
          <t>Productivity</t>
        </is>
      </c>
      <c r="D22" s="84" t="inlineStr">
        <is>
          <t>Medium</t>
        </is>
      </c>
      <c r="E22" s="79" t="inlineStr">
        <is>
          <t>Throughout day</t>
        </is>
      </c>
    </row>
    <row r="24">
      <c r="B24" s="11" t="inlineStr">
        <is>
          <t>Read 10 pages of a book</t>
        </is>
      </c>
      <c r="C24" s="87" t="inlineStr">
        <is>
          <t>Learning</t>
        </is>
      </c>
      <c r="D24" s="78" t="inlineStr">
        <is>
          <t>Easy</t>
        </is>
      </c>
      <c r="E24" s="79" t="inlineStr">
        <is>
          <t>15 min</t>
        </is>
      </c>
    </row>
    <row r="25">
      <c r="B25" s="12" t="inlineStr">
        <is>
          <t>Learn 5 vocabulary words</t>
        </is>
      </c>
      <c r="C25" s="87" t="inlineStr">
        <is>
          <t>Learning</t>
        </is>
      </c>
      <c r="D25" s="83" t="inlineStr">
        <is>
          <t>Easy</t>
        </is>
      </c>
      <c r="E25" s="81" t="inlineStr">
        <is>
          <t>10 min</t>
        </is>
      </c>
    </row>
    <row r="26">
      <c r="B26" s="11" t="inlineStr">
        <is>
          <t>Watch an educational video</t>
        </is>
      </c>
      <c r="C26" s="87" t="inlineStr">
        <is>
          <t>Learning</t>
        </is>
      </c>
      <c r="D26" s="78" t="inlineStr">
        <is>
          <t>Easy</t>
        </is>
      </c>
      <c r="E26" s="79" t="inlineStr">
        <is>
          <t>15 min</t>
        </is>
      </c>
    </row>
    <row r="27">
      <c r="B27" s="12" t="inlineStr">
        <is>
          <t>Practice a new skill for 15 min</t>
        </is>
      </c>
      <c r="C27" s="87" t="inlineStr">
        <is>
          <t>Learning</t>
        </is>
      </c>
      <c r="D27" s="80" t="inlineStr">
        <is>
          <t>Medium</t>
        </is>
      </c>
      <c r="E27" s="81" t="inlineStr">
        <is>
          <t>15 min</t>
        </is>
      </c>
    </row>
    <row r="28">
      <c r="B28" s="11" t="inlineStr">
        <is>
          <t>Listen to a podcast episode</t>
        </is>
      </c>
      <c r="C28" s="87" t="inlineStr">
        <is>
          <t>Learning</t>
        </is>
      </c>
      <c r="D28" s="78" t="inlineStr">
        <is>
          <t>Easy</t>
        </is>
      </c>
      <c r="E28" s="79" t="inlineStr">
        <is>
          <t>20-30 min</t>
        </is>
      </c>
    </row>
    <row r="29">
      <c r="B29" s="12" t="inlineStr">
        <is>
          <t>Take notes on what you learned</t>
        </is>
      </c>
      <c r="C29" s="87" t="inlineStr">
        <is>
          <t>Learning</t>
        </is>
      </c>
      <c r="D29" s="83" t="inlineStr">
        <is>
          <t>Easy</t>
        </is>
      </c>
      <c r="E29" s="81" t="inlineStr">
        <is>
          <t>5 min</t>
        </is>
      </c>
    </row>
    <row r="30">
      <c r="B30" s="11" t="inlineStr">
        <is>
          <t>Teach someone something</t>
        </is>
      </c>
      <c r="C30" s="87" t="inlineStr">
        <is>
          <t>Learning</t>
        </is>
      </c>
      <c r="D30" s="84" t="inlineStr">
        <is>
          <t>Medium</t>
        </is>
      </c>
      <c r="E30" s="79" t="inlineStr">
        <is>
          <t>10 min</t>
        </is>
      </c>
    </row>
    <row r="31">
      <c r="B31" s="12" t="inlineStr">
        <is>
          <t>Complete 1 online course lesson</t>
        </is>
      </c>
      <c r="C31" s="87" t="inlineStr">
        <is>
          <t>Learning</t>
        </is>
      </c>
      <c r="D31" s="80" t="inlineStr">
        <is>
          <t>Medium</t>
        </is>
      </c>
      <c r="E31" s="81" t="inlineStr">
        <is>
          <t>20 min</t>
        </is>
      </c>
    </row>
    <row r="33">
      <c r="B33" s="12" t="inlineStr">
        <is>
          <t>Meditate for 5 minutes</t>
        </is>
      </c>
      <c r="C33" s="88" t="inlineStr">
        <is>
          <t>Mindfulness</t>
        </is>
      </c>
      <c r="D33" s="83" t="inlineStr">
        <is>
          <t>Easy</t>
        </is>
      </c>
      <c r="E33" s="81" t="inlineStr">
        <is>
          <t>5 min</t>
        </is>
      </c>
    </row>
    <row r="34">
      <c r="B34" s="11" t="inlineStr">
        <is>
          <t>Write 3 things you're grateful for</t>
        </is>
      </c>
      <c r="C34" s="88" t="inlineStr">
        <is>
          <t>Mindfulness</t>
        </is>
      </c>
      <c r="D34" s="78" t="inlineStr">
        <is>
          <t>Easy</t>
        </is>
      </c>
      <c r="E34" s="79" t="inlineStr">
        <is>
          <t>3 min</t>
        </is>
      </c>
    </row>
    <row r="35">
      <c r="B35" s="12" t="inlineStr">
        <is>
          <t>Digital detox for 1 hour</t>
        </is>
      </c>
      <c r="C35" s="88" t="inlineStr">
        <is>
          <t>Mindfulness</t>
        </is>
      </c>
      <c r="D35" s="80" t="inlineStr">
        <is>
          <t>Medium</t>
        </is>
      </c>
      <c r="E35" s="81" t="inlineStr">
        <is>
          <t>60 min</t>
        </is>
      </c>
    </row>
    <row r="36">
      <c r="B36" s="11" t="inlineStr">
        <is>
          <t>Deep breathing exercise</t>
        </is>
      </c>
      <c r="C36" s="88" t="inlineStr">
        <is>
          <t>Mindfulness</t>
        </is>
      </c>
      <c r="D36" s="78" t="inlineStr">
        <is>
          <t>Easy</t>
        </is>
      </c>
      <c r="E36" s="79" t="inlineStr">
        <is>
          <t>3 min</t>
        </is>
      </c>
    </row>
    <row r="37">
      <c r="B37" s="12" t="inlineStr">
        <is>
          <t>Body scan relaxation</t>
        </is>
      </c>
      <c r="C37" s="88" t="inlineStr">
        <is>
          <t>Mindfulness</t>
        </is>
      </c>
      <c r="D37" s="83" t="inlineStr">
        <is>
          <t>Easy</t>
        </is>
      </c>
      <c r="E37" s="81" t="inlineStr">
        <is>
          <t>10 min</t>
        </is>
      </c>
    </row>
    <row r="38">
      <c r="B38" s="11" t="inlineStr">
        <is>
          <t>Mindful eating (no screens)</t>
        </is>
      </c>
      <c r="C38" s="88" t="inlineStr">
        <is>
          <t>Mindfulness</t>
        </is>
      </c>
      <c r="D38" s="84" t="inlineStr">
        <is>
          <t>Medium</t>
        </is>
      </c>
      <c r="E38" s="79" t="inlineStr">
        <is>
          <t>15 min</t>
        </is>
      </c>
    </row>
    <row r="39">
      <c r="B39" s="12" t="inlineStr">
        <is>
          <t>Spend 10 min in nature</t>
        </is>
      </c>
      <c r="C39" s="88" t="inlineStr">
        <is>
          <t>Mindfulness</t>
        </is>
      </c>
      <c r="D39" s="83" t="inlineStr">
        <is>
          <t>Easy</t>
        </is>
      </c>
      <c r="E39" s="81" t="inlineStr">
        <is>
          <t>10 min</t>
        </is>
      </c>
    </row>
    <row r="40">
      <c r="B40" s="11" t="inlineStr">
        <is>
          <t>Evening wind-down routine</t>
        </is>
      </c>
      <c r="C40" s="88" t="inlineStr">
        <is>
          <t>Mindfulness</t>
        </is>
      </c>
      <c r="D40" s="84" t="inlineStr">
        <is>
          <t>Medium</t>
        </is>
      </c>
      <c r="E40" s="79" t="inlineStr">
        <is>
          <t>15 min</t>
        </is>
      </c>
    </row>
    <row r="42">
      <c r="B42" s="11" t="inlineStr">
        <is>
          <t>Do 20 pushups</t>
        </is>
      </c>
      <c r="C42" s="89" t="inlineStr">
        <is>
          <t>Fitness</t>
        </is>
      </c>
      <c r="D42" s="84" t="inlineStr">
        <is>
          <t>Medium</t>
        </is>
      </c>
      <c r="E42" s="79" t="inlineStr">
        <is>
          <t>3 min</t>
        </is>
      </c>
    </row>
    <row r="43">
      <c r="B43" s="12" t="inlineStr">
        <is>
          <t>Walk 10,000 steps</t>
        </is>
      </c>
      <c r="C43" s="89" t="inlineStr">
        <is>
          <t>Fitness</t>
        </is>
      </c>
      <c r="D43" s="80" t="inlineStr">
        <is>
          <t>Medium</t>
        </is>
      </c>
      <c r="E43" s="81" t="inlineStr">
        <is>
          <t>60-90 min</t>
        </is>
      </c>
    </row>
    <row r="44">
      <c r="B44" s="11" t="inlineStr">
        <is>
          <t>10 minutes of yoga</t>
        </is>
      </c>
      <c r="C44" s="89" t="inlineStr">
        <is>
          <t>Fitness</t>
        </is>
      </c>
      <c r="D44" s="78" t="inlineStr">
        <is>
          <t>Easy</t>
        </is>
      </c>
      <c r="E44" s="79" t="inlineStr">
        <is>
          <t>10 min</t>
        </is>
      </c>
    </row>
    <row r="45">
      <c r="B45" s="12" t="inlineStr">
        <is>
          <t>Run or jog 1 mile</t>
        </is>
      </c>
      <c r="C45" s="89" t="inlineStr">
        <is>
          <t>Fitness</t>
        </is>
      </c>
      <c r="D45" s="80" t="inlineStr">
        <is>
          <t>Medium</t>
        </is>
      </c>
      <c r="E45" s="81" t="inlineStr">
        <is>
          <t>10-15 min</t>
        </is>
      </c>
    </row>
    <row r="46">
      <c r="B46" s="11" t="inlineStr">
        <is>
          <t>Hold plank for 1 minute</t>
        </is>
      </c>
      <c r="C46" s="89" t="inlineStr">
        <is>
          <t>Fitness</t>
        </is>
      </c>
      <c r="D46" s="84" t="inlineStr">
        <is>
          <t>Medium</t>
        </is>
      </c>
      <c r="E46" s="79" t="inlineStr">
        <is>
          <t>2 min</t>
        </is>
      </c>
    </row>
    <row r="47">
      <c r="B47" s="12" t="inlineStr">
        <is>
          <t>Do 50 squats</t>
        </is>
      </c>
      <c r="C47" s="89" t="inlineStr">
        <is>
          <t>Fitness</t>
        </is>
      </c>
      <c r="D47" s="80" t="inlineStr">
        <is>
          <t>Medium</t>
        </is>
      </c>
      <c r="E47" s="81" t="inlineStr">
        <is>
          <t>5 min</t>
        </is>
      </c>
    </row>
    <row r="48">
      <c r="B48" s="11" t="inlineStr">
        <is>
          <t>Take the stairs (avoid elevators)</t>
        </is>
      </c>
      <c r="C48" s="89" t="inlineStr">
        <is>
          <t>Fitness</t>
        </is>
      </c>
      <c r="D48" s="78" t="inlineStr">
        <is>
          <t>Easy</t>
        </is>
      </c>
      <c r="E48" s="79" t="inlineStr">
        <is>
          <t>Throughout day</t>
        </is>
      </c>
    </row>
    <row r="49">
      <c r="B49" s="12" t="inlineStr">
        <is>
          <t>Full body workout</t>
        </is>
      </c>
      <c r="C49" s="89" t="inlineStr">
        <is>
          <t>Fitness</t>
        </is>
      </c>
      <c r="D49" s="82" t="inlineStr">
        <is>
          <t>Hard</t>
        </is>
      </c>
      <c r="E49" s="81" t="inlineStr">
        <is>
          <t>30-45 min</t>
        </is>
      </c>
    </row>
    <row r="51">
      <c r="B51" s="12" t="inlineStr">
        <is>
          <t>Write 200 words</t>
        </is>
      </c>
      <c r="C51" s="90" t="inlineStr">
        <is>
          <t>Creative</t>
        </is>
      </c>
      <c r="D51" s="83" t="inlineStr">
        <is>
          <t>Easy</t>
        </is>
      </c>
      <c r="E51" s="81" t="inlineStr">
        <is>
          <t>10 min</t>
        </is>
      </c>
    </row>
    <row r="52">
      <c r="B52" s="11" t="inlineStr">
        <is>
          <t>Sketch or draw something</t>
        </is>
      </c>
      <c r="C52" s="90" t="inlineStr">
        <is>
          <t>Creative</t>
        </is>
      </c>
      <c r="D52" s="78" t="inlineStr">
        <is>
          <t>Easy</t>
        </is>
      </c>
      <c r="E52" s="79" t="inlineStr">
        <is>
          <t>10 min</t>
        </is>
      </c>
    </row>
    <row r="53">
      <c r="B53" s="12" t="inlineStr">
        <is>
          <t>Play an instrument for 10 min</t>
        </is>
      </c>
      <c r="C53" s="90" t="inlineStr">
        <is>
          <t>Creative</t>
        </is>
      </c>
      <c r="D53" s="80" t="inlineStr">
        <is>
          <t>Medium</t>
        </is>
      </c>
      <c r="E53" s="81" t="inlineStr">
        <is>
          <t>10 min</t>
        </is>
      </c>
    </row>
    <row r="54">
      <c r="B54" s="11" t="inlineStr">
        <is>
          <t>Photograph something interesting</t>
        </is>
      </c>
      <c r="C54" s="90" t="inlineStr">
        <is>
          <t>Creative</t>
        </is>
      </c>
      <c r="D54" s="78" t="inlineStr">
        <is>
          <t>Easy</t>
        </is>
      </c>
      <c r="E54" s="79" t="inlineStr">
        <is>
          <t>5 min</t>
        </is>
      </c>
    </row>
    <row r="55">
      <c r="B55" s="12" t="inlineStr">
        <is>
          <t>Brainstorm 5 ideas</t>
        </is>
      </c>
      <c r="C55" s="90" t="inlineStr">
        <is>
          <t>Creative</t>
        </is>
      </c>
      <c r="D55" s="83" t="inlineStr">
        <is>
          <t>Easy</t>
        </is>
      </c>
      <c r="E55" s="81" t="inlineStr">
        <is>
          <t>5 min</t>
        </is>
      </c>
    </row>
    <row r="56">
      <c r="B56" s="11" t="inlineStr">
        <is>
          <t>Work on a creative project</t>
        </is>
      </c>
      <c r="C56" s="90" t="inlineStr">
        <is>
          <t>Creative</t>
        </is>
      </c>
      <c r="D56" s="84" t="inlineStr">
        <is>
          <t>Medium</t>
        </is>
      </c>
      <c r="E56" s="79" t="inlineStr">
        <is>
          <t>20 min</t>
        </is>
      </c>
    </row>
    <row r="57">
      <c r="B57" s="12" t="inlineStr">
        <is>
          <t>Color or paint for relaxation</t>
        </is>
      </c>
      <c r="C57" s="90" t="inlineStr">
        <is>
          <t>Creative</t>
        </is>
      </c>
      <c r="D57" s="83" t="inlineStr">
        <is>
          <t>Easy</t>
        </is>
      </c>
      <c r="E57" s="81" t="inlineStr">
        <is>
          <t>15 min</t>
        </is>
      </c>
    </row>
    <row r="59">
      <c r="B59" s="12" t="inlineStr">
        <is>
          <t>Call or text a friend</t>
        </is>
      </c>
      <c r="C59" s="91" t="inlineStr">
        <is>
          <t>Social</t>
        </is>
      </c>
      <c r="D59" s="83" t="inlineStr">
        <is>
          <t>Easy</t>
        </is>
      </c>
      <c r="E59" s="81" t="inlineStr">
        <is>
          <t>5-10 min</t>
        </is>
      </c>
    </row>
    <row r="60">
      <c r="B60" s="11" t="inlineStr">
        <is>
          <t>Give someone a genuine compliment</t>
        </is>
      </c>
      <c r="C60" s="91" t="inlineStr">
        <is>
          <t>Social</t>
        </is>
      </c>
      <c r="D60" s="78" t="inlineStr">
        <is>
          <t>Easy</t>
        </is>
      </c>
      <c r="E60" s="79" t="inlineStr">
        <is>
          <t>1 min</t>
        </is>
      </c>
    </row>
    <row r="61">
      <c r="B61" s="12" t="inlineStr">
        <is>
          <t>Write a thank you note</t>
        </is>
      </c>
      <c r="C61" s="91" t="inlineStr">
        <is>
          <t>Social</t>
        </is>
      </c>
      <c r="D61" s="83" t="inlineStr">
        <is>
          <t>Easy</t>
        </is>
      </c>
      <c r="E61" s="81" t="inlineStr">
        <is>
          <t>5 min</t>
        </is>
      </c>
    </row>
    <row r="62">
      <c r="B62" s="11" t="inlineStr">
        <is>
          <t>Help someone with something</t>
        </is>
      </c>
      <c r="C62" s="91" t="inlineStr">
        <is>
          <t>Social</t>
        </is>
      </c>
      <c r="D62" s="78" t="inlineStr">
        <is>
          <t>Easy</t>
        </is>
      </c>
      <c r="E62" s="79" t="inlineStr">
        <is>
          <t>10 min</t>
        </is>
      </c>
    </row>
    <row r="63">
      <c r="B63" s="12" t="inlineStr">
        <is>
          <t>Have a tech-free conversation</t>
        </is>
      </c>
      <c r="C63" s="91" t="inlineStr">
        <is>
          <t>Social</t>
        </is>
      </c>
      <c r="D63" s="80" t="inlineStr">
        <is>
          <t>Medium</t>
        </is>
      </c>
      <c r="E63" s="81" t="inlineStr">
        <is>
          <t>15 min</t>
        </is>
      </c>
    </row>
    <row r="64">
      <c r="B64" s="11" t="inlineStr">
        <is>
          <t>Send an encouraging message</t>
        </is>
      </c>
      <c r="C64" s="91" t="inlineStr">
        <is>
          <t>Social</t>
        </is>
      </c>
      <c r="D64" s="78" t="inlineStr">
        <is>
          <t>Easy</t>
        </is>
      </c>
      <c r="E64" s="79" t="inlineStr">
        <is>
          <t>3 min</t>
        </is>
      </c>
    </row>
    <row r="65">
      <c r="B65" s="12" t="inlineStr">
        <is>
          <t>Eat a meal with someone</t>
        </is>
      </c>
      <c r="C65" s="91" t="inlineStr">
        <is>
          <t>Social</t>
        </is>
      </c>
      <c r="D65" s="83" t="inlineStr">
        <is>
          <t>Easy</t>
        </is>
      </c>
      <c r="E65" s="81" t="inlineStr">
        <is>
          <t>30 min</t>
        </is>
      </c>
    </row>
    <row r="66">
      <c r="B66" s="11" t="inlineStr">
        <is>
          <t>Practice active listening</t>
        </is>
      </c>
      <c r="C66" s="91" t="inlineStr">
        <is>
          <t>Social</t>
        </is>
      </c>
      <c r="D66" s="84" t="inlineStr">
        <is>
          <t>Medium</t>
        </is>
      </c>
      <c r="E66" s="79" t="inlineStr">
        <is>
          <t>Throughout day</t>
        </is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2026-03-19T05:29:21Z</dcterms:created>
  <dcterms:modified xsi:type="dcterms:W3CDTF">2026-03-19T05:29:21Z</dcterms:modified>
</cp:coreProperties>
</file>