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Breakdown" sheetId="2" state="visible" r:id="rId2"/>
    <sheet xmlns:r="http://schemas.openxmlformats.org/officeDocument/2006/relationships" name="Timeline Builder" sheetId="3" state="visible" r:id="rId3"/>
    <sheet xmlns:r="http://schemas.openxmlformats.org/officeDocument/2006/relationships" name="Cost Calculator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Client Proposal" sheetId="6" state="visible" r:id="rId6"/>
  </sheets>
  <definedNames>
    <definedName name="_xlnm._FilterDatabase" localSheetId="1" hidden="1">'Feature Breakdown'!$A$1:$F$13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MM/DD/YYYY"/>
    <numFmt numFmtId="167" formatCode="&quot;$&quot;#,##0.00"/>
    <numFmt numFmtId="168" formatCode="0.0x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02C"/>
      <sz val="10"/>
    </font>
    <font>
      <name val="Calibri"/>
      <b val="1"/>
      <color rgb="001A365D"/>
      <sz val="12"/>
    </font>
    <font>
      <name val="Calibri"/>
      <b val="1"/>
      <color rgb="001A365D"/>
      <sz val="14"/>
    </font>
    <font>
      <name val="Calibri"/>
      <b val="1"/>
      <color rgb="001A365D"/>
      <sz val="11"/>
    </font>
    <font>
      <name val="Calibri"/>
      <b val="1"/>
      <color rgb="002B6CB0"/>
      <sz val="12"/>
    </font>
    <font>
      <name val="Calibri"/>
      <b val="1"/>
      <color rgb="0038A169"/>
      <sz val="12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718096"/>
      <sz val="10"/>
    </font>
    <font>
      <name val="Calibri"/>
      <color rgb="001A365D"/>
      <sz val="11"/>
    </font>
    <font>
      <name val="Calibri"/>
      <b val="1"/>
      <color rgb="0038A169"/>
      <sz val="14"/>
    </font>
    <font>
      <name val="Calibri"/>
      <b val="1"/>
      <sz val="12"/>
    </font>
    <font>
      <name val="Calibri"/>
      <b val="1"/>
      <color rgb="001A365D"/>
    </font>
    <font>
      <name val="Calibri"/>
      <b val="1"/>
      <sz val="14"/>
    </font>
    <font>
      <name val="Calibri"/>
      <b val="1"/>
      <color rgb="00FFFFFF"/>
      <sz val="22"/>
    </font>
    <font>
      <name val="Calibri"/>
      <color rgb="001A202C"/>
      <sz val="11"/>
    </font>
    <font>
      <name val="Calibri"/>
      <i val="1"/>
      <color rgb="00718096"/>
      <sz val="10"/>
    </font>
    <font>
      <name val="Calibri"/>
      <b val="1"/>
      <color rgb="00FFFFFF"/>
      <sz val="10"/>
    </font>
    <font>
      <name val="Calibri"/>
      <b val="1"/>
      <color rgb="00FFFFFF"/>
      <sz val="18"/>
    </font>
    <font>
      <name val="Calibri"/>
      <b val="1"/>
      <color rgb="001A365D"/>
      <sz val="16"/>
    </font>
    <font>
      <name val="Calibri"/>
      <b val="1"/>
      <color rgb="00DD6B20"/>
      <sz val="12"/>
    </font>
  </fonts>
  <fills count="1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EDF2F7"/>
        <bgColor rgb="00EDF2F7"/>
      </patternFill>
    </fill>
    <fill>
      <patternFill patternType="solid">
        <fgColor rgb="00FFFFF0"/>
        <bgColor rgb="00FFFFF0"/>
      </patternFill>
    </fill>
    <fill>
      <patternFill patternType="solid">
        <fgColor rgb="0038A169"/>
        <bgColor rgb="0038A169"/>
      </patternFill>
    </fill>
    <fill>
      <patternFill patternType="solid">
        <fgColor rgb="00EBF8FF"/>
        <bgColor rgb="00EBF8FF"/>
      </patternFill>
    </fill>
    <fill>
      <patternFill patternType="solid">
        <fgColor rgb="002B6CB0"/>
        <bgColor rgb="002B6CB0"/>
      </patternFill>
    </fill>
    <fill>
      <patternFill patternType="solid">
        <fgColor rgb="00805AD5"/>
        <bgColor rgb="00805AD5"/>
      </patternFill>
    </fill>
    <fill>
      <patternFill patternType="solid">
        <fgColor rgb="00FEFCBF"/>
        <bgColor rgb="00FEFCBF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DD6B20"/>
        <bgColor rgb="00DD6B20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B6CB0"/>
      </left>
      <right style="medium">
        <color rgb="002B6CB0"/>
      </right>
      <top style="medium">
        <color rgb="002B6CB0"/>
      </top>
      <bottom style="medium">
        <color rgb="002B6CB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9" fillId="9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0" applyAlignment="1" pivotButton="0" quotePrefix="0" xfId="0">
      <alignment indent="1"/>
    </xf>
    <xf numFmtId="0" fontId="6" fillId="6" borderId="2" pivotButton="0" quotePrefix="0" xfId="0"/>
    <xf numFmtId="166" fontId="6" fillId="6" borderId="2" pivotButton="0" quotePrefix="0" xfId="0"/>
    <xf numFmtId="0" fontId="9" fillId="7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7" fontId="21" fillId="3" borderId="1" applyAlignment="1" pivotButton="0" quotePrefix="0" xfId="0">
      <alignment horizontal="center" vertical="center"/>
    </xf>
    <xf numFmtId="166" fontId="21" fillId="3" borderId="1" applyAlignment="1" pivotButton="0" quotePrefix="0" xfId="0">
      <alignment horizontal="center" vertical="center"/>
    </xf>
    <xf numFmtId="165" fontId="21" fillId="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 indent="1"/>
    </xf>
    <xf numFmtId="0" fontId="11" fillId="0" borderId="0" applyAlignment="1" pivotButton="0" quotePrefix="0" xfId="0">
      <alignment indent="1"/>
    </xf>
    <xf numFmtId="1" fontId="0" fillId="5" borderId="1" pivotButton="0" quotePrefix="0" xfId="0"/>
    <xf numFmtId="164" fontId="0" fillId="5" borderId="1" pivotButton="0" quotePrefix="0" xfId="0"/>
    <xf numFmtId="1" fontId="22" fillId="5" borderId="1" pivotButton="0" quotePrefix="0" xfId="0"/>
    <xf numFmtId="166" fontId="22" fillId="5" borderId="1" pivotButton="0" quotePrefix="0" xfId="0"/>
    <xf numFmtId="0" fontId="9" fillId="10" borderId="1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164" fontId="4" fillId="5" borderId="1" pivotButton="0" quotePrefix="0" xfId="0"/>
    <xf numFmtId="0" fontId="5" fillId="0" borderId="0" pivotButton="0" quotePrefix="0" xfId="0"/>
    <xf numFmtId="164" fontId="6" fillId="5" borderId="1" pivotButton="0" quotePrefix="0" xfId="0"/>
    <xf numFmtId="165" fontId="7" fillId="5" borderId="1" pivotButton="0" quotePrefix="0" xfId="0"/>
    <xf numFmtId="0" fontId="8" fillId="2" borderId="1" applyAlignment="1" pivotButton="0" quotePrefix="0" xfId="0">
      <alignment horizontal="center"/>
    </xf>
    <xf numFmtId="166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166" fontId="2" fillId="4" borderId="1" applyAlignment="1" pivotButton="0" quotePrefix="0" xfId="0">
      <alignment vertical="center" wrapText="1"/>
    </xf>
    <xf numFmtId="1" fontId="4" fillId="5" borderId="1" pivotButton="0" quotePrefix="0" xfId="0"/>
    <xf numFmtId="166" fontId="6" fillId="5" borderId="1" pivotButton="0" quotePrefix="0" xfId="0"/>
    <xf numFmtId="0" fontId="9" fillId="2" borderId="1" applyAlignment="1" pivotButton="0" quotePrefix="0" xfId="0">
      <alignment horizontal="left" vertical="center" indent="1"/>
    </xf>
    <xf numFmtId="167" fontId="6" fillId="6" borderId="2" pivotButton="0" quotePrefix="0" xfId="0"/>
    <xf numFmtId="164" fontId="6" fillId="5" borderId="0" pivotButton="0" quotePrefix="0" xfId="0"/>
    <xf numFmtId="165" fontId="6" fillId="6" borderId="2" pivotButton="0" quotePrefix="0" xfId="0"/>
    <xf numFmtId="0" fontId="5" fillId="8" borderId="1" pivotButton="0" quotePrefix="0" xfId="0"/>
    <xf numFmtId="167" fontId="2" fillId="3" borderId="1" applyAlignment="1" pivotButton="0" quotePrefix="0" xfId="0">
      <alignment vertical="center" wrapText="1"/>
    </xf>
    <xf numFmtId="167" fontId="2" fillId="4" borderId="1" applyAlignment="1" pivotButton="0" quotePrefix="0" xfId="0">
      <alignment vertical="center" wrapText="1"/>
    </xf>
    <xf numFmtId="167" fontId="0" fillId="5" borderId="1" pivotButton="0" quotePrefix="0" xfId="0"/>
    <xf numFmtId="0" fontId="3" fillId="0" borderId="0" applyAlignment="1" pivotButton="0" quotePrefix="0" xfId="0">
      <alignment indent="1"/>
    </xf>
    <xf numFmtId="167" fontId="12" fillId="5" borderId="1" pivotButton="0" quotePrefix="0" xfId="0"/>
    <xf numFmtId="168" fontId="2" fillId="3" borderId="1" applyAlignment="1" pivotButton="0" quotePrefix="0" xfId="0">
      <alignment vertical="center" wrapText="1"/>
    </xf>
    <xf numFmtId="167" fontId="2" fillId="5" borderId="1" applyAlignment="1" pivotButton="0" quotePrefix="0" xfId="0">
      <alignment vertical="center" wrapText="1"/>
    </xf>
    <xf numFmtId="168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14" fillId="8" borderId="1" pivotButton="0" quotePrefix="0" xfId="0"/>
    <xf numFmtId="0" fontId="15" fillId="11" borderId="1" applyAlignment="1" pivotButton="0" quotePrefix="0" xfId="0">
      <alignment horizontal="center"/>
    </xf>
    <xf numFmtId="0" fontId="15" fillId="12" borderId="1" applyAlignment="1" pivotButton="0" quotePrefix="0" xfId="0">
      <alignment horizontal="center"/>
    </xf>
    <xf numFmtId="0" fontId="15" fillId="13" borderId="1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17" fillId="5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9" borderId="1" pivotButton="0" quotePrefix="0" xfId="0"/>
    <xf numFmtId="0" fontId="2" fillId="5" borderId="1" pivotButton="0" quotePrefix="0" xfId="0"/>
    <xf numFmtId="164" fontId="2" fillId="5" borderId="1" pivotButton="0" quotePrefix="0" xfId="0"/>
    <xf numFmtId="1" fontId="2" fillId="5" borderId="1" pivotButton="0" quotePrefix="0" xfId="0"/>
    <xf numFmtId="0" fontId="2" fillId="0" borderId="0" pivotButton="0" quotePrefix="0" xfId="0"/>
    <xf numFmtId="0" fontId="11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dxfs count="17">
    <dxf>
      <fill>
        <patternFill patternType="solid">
          <fgColor rgb="00E2E8F0"/>
          <bgColor rgb="00E2E8F0"/>
        </patternFill>
      </fill>
    </dxf>
    <dxf>
      <font>
        <b val="1"/>
        <color rgb="00D69E2E"/>
      </font>
      <fill>
        <patternFill patternType="solid">
          <fgColor rgb="00FEFCBF"/>
          <bgColor rgb="00FEFCBF"/>
        </patternFill>
      </fill>
    </dxf>
    <dxf>
      <font>
        <b val="1"/>
        <color rgb="0038A169"/>
      </font>
      <fill>
        <patternFill patternType="solid">
          <fgColor rgb="00C6F6D5"/>
          <bgColor rgb="00C6F6D5"/>
        </patternFill>
      </fill>
    </dxf>
    <dxf>
      <font>
        <b val="1"/>
        <color rgb="00E53E3E"/>
      </font>
      <fill>
        <patternFill patternType="solid">
          <fgColor rgb="00FED7D7"/>
          <bgColor rgb="00FED7D7"/>
        </patternFill>
      </fill>
    </dxf>
    <dxf>
      <font>
        <b val="1"/>
        <color rgb="002B6CB0"/>
      </font>
      <fill>
        <patternFill patternType="solid">
          <fgColor rgb="00BEE3F8"/>
          <bgColor rgb="00BEE3F8"/>
        </patternFill>
      </fill>
    </dxf>
    <dxf>
      <font>
        <color rgb="00718096"/>
      </font>
      <fill>
        <patternFill patternType="solid">
          <fgColor rgb="00E2E8F0"/>
          <bgColor rgb="00E2E8F0"/>
        </patternFill>
      </fill>
    </dxf>
    <dxf>
      <font>
        <color rgb="004299E1"/>
        <sz val="1"/>
      </font>
      <fill>
        <patternFill patternType="solid">
          <fgColor rgb="004299E1"/>
          <bgColor rgb="004299E1"/>
        </patternFill>
      </fill>
    </dxf>
    <dxf>
      <font>
        <color rgb="0048BB78"/>
        <sz val="1"/>
      </font>
      <fill>
        <patternFill patternType="solid">
          <fgColor rgb="0048BB78"/>
          <bgColor rgb="0048BB78"/>
        </patternFill>
      </fill>
    </dxf>
    <dxf>
      <font>
        <color rgb="00ED8936"/>
        <sz val="1"/>
      </font>
      <fill>
        <patternFill patternType="solid">
          <fgColor rgb="00ED8936"/>
          <bgColor rgb="00ED8936"/>
        </patternFill>
      </fill>
    </dxf>
    <dxf>
      <font>
        <color rgb="009F7AEA"/>
        <sz val="1"/>
      </font>
      <fill>
        <patternFill patternType="solid">
          <fgColor rgb="009F7AEA"/>
          <bgColor rgb="009F7AEA"/>
        </patternFill>
      </fill>
    </dxf>
    <dxf>
      <font>
        <color rgb="00ED64A6"/>
        <sz val="1"/>
      </font>
      <fill>
        <patternFill patternType="solid">
          <fgColor rgb="00ED64A6"/>
          <bgColor rgb="00ED64A6"/>
        </patternFill>
      </fill>
    </dxf>
    <dxf>
      <font>
        <color rgb="0038B2AC"/>
        <sz val="1"/>
      </font>
      <fill>
        <patternFill patternType="solid">
          <fgColor rgb="0038B2AC"/>
          <bgColor rgb="0038B2AC"/>
        </patternFill>
      </fill>
    </dxf>
    <dxf>
      <font>
        <color rgb="00A0AEC0"/>
        <sz val="1"/>
      </font>
      <fill>
        <patternFill patternType="solid">
          <fgColor rgb="00A0AEC0"/>
          <bgColor rgb="00A0AEC0"/>
        </patternFill>
      </fill>
    </dxf>
    <dxf>
      <fill>
        <patternFill patternType="solid">
          <fgColor rgb="00EBF8FF"/>
          <bgColor rgb="00EBF8FF"/>
        </patternFill>
      </fill>
    </dxf>
    <dxf>
      <fill>
        <patternFill patternType="solid">
          <fgColor rgb="00C6F6D5"/>
          <bgColor rgb="00C6F6D5"/>
        </patternFill>
      </fill>
    </dxf>
    <dxf>
      <fill>
        <patternFill patternType="solid">
          <fgColor rgb="00BEE3F8"/>
          <bgColor rgb="00BEE3F8"/>
        </patternFill>
      </fill>
    </dxf>
    <dxf>
      <fill>
        <patternFill patternType="solid">
          <fgColor rgb="00FEFCBF"/>
          <bgColor rgb="00FEFC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'Dashboard'!$A$25:$A$28</f>
            </numRef>
          </cat>
          <val>
            <numRef>
              <f>'Dashboard'!$C$25:$C$28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PROJECT ESTIMATION DASHBOARD</t>
        </is>
      </c>
    </row>
    <row r="2">
      <c r="A2" s="2" t="inlineStr">
        <is>
          <t>Fill in the yellow fields below. All other values update automatically.</t>
        </is>
      </c>
    </row>
    <row r="3">
      <c r="A3" s="3" t="inlineStr">
        <is>
          <t>PROJECT INFORMATION</t>
        </is>
      </c>
      <c r="B3" s="4" t="n"/>
      <c r="C3" s="4" t="n"/>
      <c r="D3" s="4" t="n"/>
    </row>
    <row r="4">
      <c r="A4" s="5" t="inlineStr">
        <is>
          <t>Project Name</t>
        </is>
      </c>
      <c r="C4" s="6" t="inlineStr">
        <is>
          <t>E-Commerce Web Application</t>
        </is>
      </c>
    </row>
    <row r="5">
      <c r="A5" s="5" t="inlineStr">
        <is>
          <t>Client Name</t>
        </is>
      </c>
      <c r="C5" s="6" t="inlineStr">
        <is>
          <t>Acme Corp</t>
        </is>
      </c>
    </row>
    <row r="6">
      <c r="A6" s="5" t="inlineStr">
        <is>
          <t>Start Date</t>
        </is>
      </c>
      <c r="C6" s="7" t="inlineStr">
        <is>
          <t>2026-04-14</t>
        </is>
      </c>
    </row>
    <row r="7">
      <c r="A7" s="5" t="inlineStr">
        <is>
          <t>Status</t>
        </is>
      </c>
      <c r="C7" s="6" t="inlineStr">
        <is>
          <t>Not Started</t>
        </is>
      </c>
    </row>
    <row r="9">
      <c r="A9" s="8" t="inlineStr">
        <is>
          <t>KEY METRICS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9" t="inlineStr">
        <is>
          <t>Total Features</t>
        </is>
      </c>
      <c r="B10" s="9" t="inlineStr">
        <is>
          <t>Total Hours</t>
        </is>
      </c>
      <c r="C10" s="9" t="inlineStr">
        <is>
          <t>Hourly Rate</t>
        </is>
      </c>
      <c r="D10" s="9" t="inlineStr">
        <is>
          <t>Project Cost</t>
        </is>
      </c>
      <c r="E10" s="9" t="inlineStr">
        <is>
          <t>Timeline (days)</t>
        </is>
      </c>
      <c r="F10" s="9" t="inlineStr">
        <is>
          <t>Est. End Date</t>
        </is>
      </c>
      <c r="G10" s="9" t="inlineStr">
        <is>
          <t>High Risks</t>
        </is>
      </c>
      <c r="H10" s="9" t="inlineStr">
        <is>
          <t>Completion %</t>
        </is>
      </c>
    </row>
    <row r="11">
      <c r="A11" s="10">
        <f>COUNTA('Feature Breakdown'!A2:A100)</f>
        <v/>
      </c>
      <c r="B11" s="10">
        <f>'Feature Breakdown'!C15</f>
        <v/>
      </c>
      <c r="C11" s="11">
        <f>'Cost Calculator'!C3</f>
        <v/>
      </c>
      <c r="D11" s="11">
        <f>'Cost Calculator'!C23</f>
        <v/>
      </c>
      <c r="E11" s="10">
        <f>'Timeline Builder'!D10</f>
        <v/>
      </c>
      <c r="F11" s="12">
        <f>'Timeline Builder'!D11</f>
        <v/>
      </c>
      <c r="G11" s="10">
        <f>COUNTIF('Risk Register'!D2:D50,"&gt;="&amp;6)</f>
        <v/>
      </c>
      <c r="H11" s="13">
        <f>'Feature Breakdown'!C17</f>
        <v/>
      </c>
    </row>
    <row r="13">
      <c r="A13" s="14" t="inlineStr">
        <is>
          <t>RISK-ADJUSTED ESTIMATES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15" t="inlineStr">
        <is>
          <t>Base Timeline (days)</t>
        </is>
      </c>
      <c r="C14" s="16">
        <f>'Timeline Builder'!D10</f>
        <v/>
      </c>
    </row>
    <row r="15">
      <c r="A15" s="15" t="inlineStr">
        <is>
          <t>Risk Buffer (+20%)</t>
        </is>
      </c>
      <c r="C15" s="17">
        <f>'Timeline Builder'!D10*0.2</f>
        <v/>
      </c>
    </row>
    <row r="16">
      <c r="A16" s="5" t="inlineStr">
        <is>
          <t>Risk-Adjusted Timeline</t>
        </is>
      </c>
      <c r="C16" s="18">
        <f>'Timeline Builder'!D10*1.2</f>
        <v/>
      </c>
    </row>
    <row r="17">
      <c r="A17" s="5" t="inlineStr">
        <is>
          <t>Risk-Adjusted End Date</t>
        </is>
      </c>
      <c r="C17" s="19">
        <f>C6+'Timeline Builder'!D10*1.2</f>
        <v/>
      </c>
    </row>
    <row r="19">
      <c r="A19" s="20" t="inlineStr">
        <is>
          <t>COST SCENARIOS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9" t="inlineStr">
        <is>
          <t>Best Case (0.8x)</t>
        </is>
      </c>
      <c r="D20" s="9" t="inlineStr">
        <is>
          <t>Expected (1.0x)</t>
        </is>
      </c>
      <c r="G20" s="9" t="inlineStr">
        <is>
          <t>Worst Case (1.5x)</t>
        </is>
      </c>
    </row>
    <row r="21">
      <c r="A21" s="11">
        <f>'Cost Calculator'!D28</f>
        <v/>
      </c>
      <c r="D21" s="11">
        <f>'Cost Calculator'!D29</f>
        <v/>
      </c>
      <c r="G21" s="11">
        <f>'Cost Calculator'!D30</f>
        <v/>
      </c>
    </row>
    <row r="23">
      <c r="A23" s="3" t="inlineStr">
        <is>
          <t>FEATURE PRIORITY BREAKDOWN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21" t="inlineStr">
        <is>
          <t>Priority</t>
        </is>
      </c>
      <c r="B24" s="21" t="inlineStr">
        <is>
          <t>Count</t>
        </is>
      </c>
      <c r="C24" s="21" t="inlineStr">
        <is>
          <t>Hours</t>
        </is>
      </c>
    </row>
    <row r="25">
      <c r="A25" s="22" t="inlineStr">
        <is>
          <t>Must Have</t>
        </is>
      </c>
      <c r="B25" s="23">
        <f>COUNTIF('Feature Breakdown'!D2:D100,"Must Have")</f>
        <v/>
      </c>
      <c r="C25" s="24">
        <f>SUMIF('Feature Breakdown'!D2:D100,"Must Have",'Feature Breakdown'!C2:C100)</f>
        <v/>
      </c>
    </row>
    <row r="26">
      <c r="A26" s="25" t="inlineStr">
        <is>
          <t>Should Have</t>
        </is>
      </c>
      <c r="B26" s="23">
        <f>COUNTIF('Feature Breakdown'!D2:D100,"Should Have")</f>
        <v/>
      </c>
      <c r="C26" s="24">
        <f>SUMIF('Feature Breakdown'!D2:D100,"Should Have",'Feature Breakdown'!C2:C100)</f>
        <v/>
      </c>
    </row>
    <row r="27">
      <c r="A27" s="22" t="inlineStr">
        <is>
          <t>Could Have</t>
        </is>
      </c>
      <c r="B27" s="23">
        <f>COUNTIF('Feature Breakdown'!D2:D100,"Could Have")</f>
        <v/>
      </c>
      <c r="C27" s="24">
        <f>SUMIF('Feature Breakdown'!D2:D100,"Could Have",'Feature Breakdown'!C2:C100)</f>
        <v/>
      </c>
    </row>
    <row r="28">
      <c r="A28" s="25" t="inlineStr">
        <is>
          <t>Won't Have</t>
        </is>
      </c>
      <c r="B28" s="23">
        <f>COUNTIF('Feature Breakdown'!D2:D100,"Won't Have")</f>
        <v/>
      </c>
      <c r="C28" s="24">
        <f>SUMIF('Feature Breakdown'!D2:D100,"Won't Have",'Feature Breakdown'!C2:C100)</f>
        <v/>
      </c>
    </row>
  </sheetData>
  <mergeCells count="17">
    <mergeCell ref="A9:H9"/>
    <mergeCell ref="D20:E20"/>
    <mergeCell ref="A20:B20"/>
    <mergeCell ref="A21:B21"/>
    <mergeCell ref="G20:H20"/>
    <mergeCell ref="C6:D6"/>
    <mergeCell ref="C7:D7"/>
    <mergeCell ref="G21:H21"/>
    <mergeCell ref="D21:E21"/>
    <mergeCell ref="A2:H2"/>
    <mergeCell ref="A3:D3"/>
    <mergeCell ref="C5:D5"/>
    <mergeCell ref="A13:H13"/>
    <mergeCell ref="A19:H19"/>
    <mergeCell ref="A1:H1"/>
    <mergeCell ref="A23:H23"/>
    <mergeCell ref="C4:D4"/>
  </mergeCells>
  <conditionalFormatting sqref="C7:D7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"Complete"</formula>
    </cfRule>
  </conditionalFormatting>
  <dataValidations count="1">
    <dataValidation sqref="C7" showDropDown="0" showInputMessage="0" showErrorMessage="0" allowBlank="1" type="list">
      <formula1>"Not Started,In Progress,Complete"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B6CB0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6" customWidth="1" min="4" max="4"/>
    <col width="14" customWidth="1" min="5" max="5"/>
    <col width="35" customWidth="1" min="6" max="6"/>
  </cols>
  <sheetData>
    <row r="1">
      <c r="A1" s="21" t="inlineStr">
        <is>
          <t>Feature Name</t>
        </is>
      </c>
      <c r="B1" s="21" t="inlineStr">
        <is>
          <t>Complexity</t>
        </is>
      </c>
      <c r="C1" s="21" t="inlineStr">
        <is>
          <t>Estimated Hours</t>
        </is>
      </c>
      <c r="D1" s="21" t="inlineStr">
        <is>
          <t>Priority</t>
        </is>
      </c>
      <c r="E1" s="21" t="inlineStr">
        <is>
          <t>Status</t>
        </is>
      </c>
      <c r="F1" s="21" t="inlineStr">
        <is>
          <t>Notes</t>
        </is>
      </c>
    </row>
    <row r="2">
      <c r="A2" s="22" t="inlineStr">
        <is>
          <t>User Authentication (Login/Register)</t>
        </is>
      </c>
      <c r="B2" s="22" t="inlineStr">
        <is>
          <t>High</t>
        </is>
      </c>
      <c r="C2" s="22" t="n">
        <v>16</v>
      </c>
      <c r="D2" s="22" t="inlineStr">
        <is>
          <t>Must Have</t>
        </is>
      </c>
      <c r="E2" s="22" t="inlineStr">
        <is>
          <t>Done</t>
        </is>
      </c>
      <c r="F2" s="22" t="inlineStr">
        <is>
          <t>OAuth + email/password</t>
        </is>
      </c>
    </row>
    <row r="3">
      <c r="A3" s="25" t="inlineStr">
        <is>
          <t>User Profile Page</t>
        </is>
      </c>
      <c r="B3" s="25" t="inlineStr">
        <is>
          <t>Medium</t>
        </is>
      </c>
      <c r="C3" s="25" t="n">
        <v>6</v>
      </c>
      <c r="D3" s="25" t="inlineStr">
        <is>
          <t>Must Have</t>
        </is>
      </c>
      <c r="E3" s="25" t="inlineStr">
        <is>
          <t>In Progress</t>
        </is>
      </c>
      <c r="F3" s="25" t="inlineStr">
        <is>
          <t>Avatar upload, edit details</t>
        </is>
      </c>
    </row>
    <row r="4">
      <c r="A4" s="22" t="inlineStr">
        <is>
          <t>Product Listing Page</t>
        </is>
      </c>
      <c r="B4" s="22" t="inlineStr">
        <is>
          <t>Medium</t>
        </is>
      </c>
      <c r="C4" s="22" t="n">
        <v>8</v>
      </c>
      <c r="D4" s="22" t="inlineStr">
        <is>
          <t>Must Have</t>
        </is>
      </c>
      <c r="E4" s="22" t="inlineStr">
        <is>
          <t>Not Started</t>
        </is>
      </c>
      <c r="F4" s="22" t="inlineStr">
        <is>
          <t>Grid/list view, filters</t>
        </is>
      </c>
    </row>
    <row r="5">
      <c r="A5" s="25" t="inlineStr">
        <is>
          <t>Shopping Cart</t>
        </is>
      </c>
      <c r="B5" s="25" t="inlineStr">
        <is>
          <t>High</t>
        </is>
      </c>
      <c r="C5" s="25" t="n">
        <v>14</v>
      </c>
      <c r="D5" s="25" t="inlineStr">
        <is>
          <t>Must Have</t>
        </is>
      </c>
      <c r="E5" s="25" t="inlineStr">
        <is>
          <t>Not Started</t>
        </is>
      </c>
      <c r="F5" s="25" t="inlineStr">
        <is>
          <t>Add/remove, qty update, persist</t>
        </is>
      </c>
    </row>
    <row r="6">
      <c r="A6" s="22" t="inlineStr">
        <is>
          <t>Checkout &amp; Payment Integration</t>
        </is>
      </c>
      <c r="B6" s="22" t="inlineStr">
        <is>
          <t>High</t>
        </is>
      </c>
      <c r="C6" s="22" t="n">
        <v>20</v>
      </c>
      <c r="D6" s="22" t="inlineStr">
        <is>
          <t>Must Have</t>
        </is>
      </c>
      <c r="E6" s="22" t="inlineStr">
        <is>
          <t>Not Started</t>
        </is>
      </c>
      <c r="F6" s="22" t="inlineStr">
        <is>
          <t>Stripe integration</t>
        </is>
      </c>
    </row>
    <row r="7">
      <c r="A7" s="25" t="inlineStr">
        <is>
          <t>Search &amp; Filtering</t>
        </is>
      </c>
      <c r="B7" s="25" t="inlineStr">
        <is>
          <t>Medium</t>
        </is>
      </c>
      <c r="C7" s="25" t="n">
        <v>6</v>
      </c>
      <c r="D7" s="25" t="inlineStr">
        <is>
          <t>Should Have</t>
        </is>
      </c>
      <c r="E7" s="25" t="inlineStr">
        <is>
          <t>Not Started</t>
        </is>
      </c>
      <c r="F7" s="25" t="inlineStr">
        <is>
          <t>Full-text search, category filter</t>
        </is>
      </c>
    </row>
    <row r="8">
      <c r="A8" s="22" t="inlineStr">
        <is>
          <t>Admin Dashboard</t>
        </is>
      </c>
      <c r="B8" s="22" t="inlineStr">
        <is>
          <t>High</t>
        </is>
      </c>
      <c r="C8" s="22" t="n">
        <v>12</v>
      </c>
      <c r="D8" s="22" t="inlineStr">
        <is>
          <t>Should Have</t>
        </is>
      </c>
      <c r="E8" s="22" t="inlineStr">
        <is>
          <t>Not Started</t>
        </is>
      </c>
      <c r="F8" s="22" t="inlineStr">
        <is>
          <t>CRUD for products, orders</t>
        </is>
      </c>
    </row>
    <row r="9">
      <c r="A9" s="25" t="inlineStr">
        <is>
          <t>Email Notifications</t>
        </is>
      </c>
      <c r="B9" s="25" t="inlineStr">
        <is>
          <t>Low</t>
        </is>
      </c>
      <c r="C9" s="25" t="n">
        <v>4</v>
      </c>
      <c r="D9" s="25" t="inlineStr">
        <is>
          <t>Should Have</t>
        </is>
      </c>
      <c r="E9" s="25" t="inlineStr">
        <is>
          <t>Not Started</t>
        </is>
      </c>
      <c r="F9" s="25" t="inlineStr">
        <is>
          <t>Order confirm, shipping update</t>
        </is>
      </c>
    </row>
    <row r="10">
      <c r="A10" s="22" t="inlineStr">
        <is>
          <t>Product Reviews &amp; Ratings</t>
        </is>
      </c>
      <c r="B10" s="22" t="inlineStr">
        <is>
          <t>Medium</t>
        </is>
      </c>
      <c r="C10" s="22" t="n">
        <v>8</v>
      </c>
      <c r="D10" s="22" t="inlineStr">
        <is>
          <t>Could Have</t>
        </is>
      </c>
      <c r="E10" s="22" t="inlineStr">
        <is>
          <t>Not Started</t>
        </is>
      </c>
      <c r="F10" s="22" t="inlineStr">
        <is>
          <t>Star rating, text review</t>
        </is>
      </c>
    </row>
    <row r="11">
      <c r="A11" s="25" t="inlineStr">
        <is>
          <t>Wishlist / Favorites</t>
        </is>
      </c>
      <c r="B11" s="25" t="inlineStr">
        <is>
          <t>Low</t>
        </is>
      </c>
      <c r="C11" s="25" t="n">
        <v>3</v>
      </c>
      <c r="D11" s="25" t="inlineStr">
        <is>
          <t>Could Have</t>
        </is>
      </c>
      <c r="E11" s="25" t="inlineStr">
        <is>
          <t>Not Started</t>
        </is>
      </c>
      <c r="F11" s="25" t="inlineStr">
        <is>
          <t>Save items for later</t>
        </is>
      </c>
    </row>
    <row r="12">
      <c r="A12" s="22" t="inlineStr">
        <is>
          <t>Social Media Sharing</t>
        </is>
      </c>
      <c r="B12" s="22" t="inlineStr">
        <is>
          <t>Low</t>
        </is>
      </c>
      <c r="C12" s="22" t="n">
        <v>2</v>
      </c>
      <c r="D12" s="22" t="inlineStr">
        <is>
          <t>Won't Have</t>
        </is>
      </c>
      <c r="E12" s="22" t="inlineStr">
        <is>
          <t>Not Started</t>
        </is>
      </c>
      <c r="F12" s="22" t="inlineStr">
        <is>
          <t>Share buttons on products</t>
        </is>
      </c>
    </row>
    <row r="13">
      <c r="A13" s="25" t="inlineStr">
        <is>
          <t>Multi-language Support</t>
        </is>
      </c>
      <c r="B13" s="25" t="inlineStr">
        <is>
          <t>High</t>
        </is>
      </c>
      <c r="C13" s="25" t="n">
        <v>18</v>
      </c>
      <c r="D13" s="25" t="inlineStr">
        <is>
          <t>Won't Have</t>
        </is>
      </c>
      <c r="E13" s="25" t="inlineStr">
        <is>
          <t>Not Started</t>
        </is>
      </c>
      <c r="F13" s="25" t="inlineStr">
        <is>
          <t>i18n framework setup</t>
        </is>
      </c>
    </row>
    <row r="15">
      <c r="A15" s="26" t="inlineStr">
        <is>
          <t>TOTAL ESTIMATED HOURS</t>
        </is>
      </c>
      <c r="C15" s="27">
        <f>SUM(C2:C13)</f>
        <v/>
      </c>
    </row>
    <row r="16">
      <c r="A16" s="28" t="inlineStr">
        <is>
          <t>Must-Have Hours Only</t>
        </is>
      </c>
      <c r="C16" s="29">
        <f>SUMIF(D2:D13,"Must Have",C2:C13)</f>
        <v/>
      </c>
    </row>
    <row r="17">
      <c r="A17" s="28" t="inlineStr">
        <is>
          <t>Completion %</t>
        </is>
      </c>
      <c r="C17" s="30">
        <f>IF(COUNTA(A2:A13)=0,0,COUNTIF(E2:E13,"Done")/COUNTA(A2:A13))</f>
        <v/>
      </c>
    </row>
  </sheetData>
  <autoFilter ref="A1:F13"/>
  <conditionalFormatting sqref="E2:E100">
    <cfRule type="cellIs" priority="1" operator="equal" dxfId="2">
      <formula>"Done"</formula>
    </cfRule>
    <cfRule type="cellIs" priority="2" operator="equal" dxfId="1">
      <formula>"In Progress"</formula>
    </cfRule>
    <cfRule type="cellIs" priority="3" operator="equal" dxfId="3">
      <formula>"Blocked"</formula>
    </cfRule>
    <cfRule type="cellIs" priority="4" operator="equal" dxfId="0">
      <formula>"Not Started"</formula>
    </cfRule>
  </conditionalFormatting>
  <conditionalFormatting sqref="D2:D100">
    <cfRule type="cellIs" priority="5" operator="equal" dxfId="3">
      <formula>"Must Have"</formula>
    </cfRule>
    <cfRule type="cellIs" priority="6" operator="equal" dxfId="1">
      <formula>"Should Have"</formula>
    </cfRule>
    <cfRule type="cellIs" priority="7" operator="equal" dxfId="4">
      <formula>"Could Have"</formula>
    </cfRule>
    <cfRule type="cellIs" priority="8" operator="equal" dxfId="5">
      <formula>"Won't Have"</formula>
    </cfRule>
  </conditionalFormatting>
  <dataValidations count="3">
    <dataValidation sqref="B2:B100" showDropDown="0" showInputMessage="0" showErrorMessage="0" allowBlank="1" promptTitle="Complexity" prompt="Low=2-4h, Med=4-8h, High=8-20h" type="list">
      <formula1>"Low,Medium,High"</formula1>
    </dataValidation>
    <dataValidation sqref="D2:D100" showDropDown="0" showInputMessage="0" showErrorMessage="0" allowBlank="1" promptTitle="Priority" prompt="Select priority level" type="list">
      <formula1>"Must Have,Should Have,Could Have,Won't Have"</formula1>
    </dataValidation>
    <dataValidation sqref="E2:E100" showDropDown="0" showInputMessage="0" showErrorMessage="0" allowBlank="1" promptTitle="Status" prompt="Select feature status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A169"/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22" customWidth="1" min="5" max="5"/>
    <col width="14" customWidth="1" min="6" max="6"/>
    <col width="14" customWidth="1" min="7" max="7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21" t="inlineStr">
        <is>
          <t>Phase</t>
        </is>
      </c>
      <c r="B1" s="21" t="inlineStr">
        <is>
          <t>Start Date</t>
        </is>
      </c>
      <c r="C1" s="21" t="inlineStr">
        <is>
          <t>End Date</t>
        </is>
      </c>
      <c r="D1" s="21" t="inlineStr">
        <is>
          <t>Duration (days)</t>
        </is>
      </c>
      <c r="E1" s="21" t="inlineStr">
        <is>
          <t>Dependencies</t>
        </is>
      </c>
      <c r="F1" s="21" t="inlineStr">
        <is>
          <t>Owner</t>
        </is>
      </c>
      <c r="G1" s="21" t="inlineStr">
        <is>
          <t>Status</t>
        </is>
      </c>
      <c r="H1" s="4" t="inlineStr"/>
      <c r="I1" s="31" t="inlineStr">
        <is>
          <t>Wk 1</t>
        </is>
      </c>
      <c r="J1" s="31" t="inlineStr">
        <is>
          <t>Wk 2</t>
        </is>
      </c>
      <c r="K1" s="31" t="inlineStr">
        <is>
          <t>Wk 3</t>
        </is>
      </c>
      <c r="L1" s="31" t="inlineStr">
        <is>
          <t>Wk 4</t>
        </is>
      </c>
      <c r="M1" s="31" t="inlineStr">
        <is>
          <t>Wk 5</t>
        </is>
      </c>
      <c r="N1" s="31" t="inlineStr">
        <is>
          <t>Wk 6</t>
        </is>
      </c>
      <c r="O1" s="31" t="inlineStr">
        <is>
          <t>Wk 7</t>
        </is>
      </c>
      <c r="P1" s="31" t="inlineStr">
        <is>
          <t>Wk 8</t>
        </is>
      </c>
      <c r="Q1" s="31" t="inlineStr">
        <is>
          <t>Wk 9</t>
        </is>
      </c>
      <c r="R1" s="31" t="inlineStr">
        <is>
          <t>Wk 10</t>
        </is>
      </c>
      <c r="S1" s="31" t="inlineStr">
        <is>
          <t>Wk 11</t>
        </is>
      </c>
      <c r="T1" s="31" t="inlineStr">
        <is>
          <t>Wk 12</t>
        </is>
      </c>
    </row>
    <row r="2">
      <c r="A2" s="22" t="inlineStr">
        <is>
          <t>Discovery &amp; Requirements</t>
        </is>
      </c>
      <c r="B2" s="32" t="inlineStr">
        <is>
          <t>2026-04-14</t>
        </is>
      </c>
      <c r="C2" s="32">
        <f>B2+D2-1</f>
        <v/>
      </c>
      <c r="D2" s="22" t="n">
        <v>5</v>
      </c>
      <c r="E2" s="22" t="inlineStr">
        <is>
          <t>None</t>
        </is>
      </c>
      <c r="F2" s="22" t="inlineStr">
        <is>
          <t>Lead Dev</t>
        </is>
      </c>
      <c r="G2" s="22" t="inlineStr">
        <is>
          <t>Not Started</t>
        </is>
      </c>
      <c r="I2" s="33">
        <f>IF(AND(B2&lt;&gt;"",D2&lt;&gt;""),IF(AND(B$2+0&lt;=C2,B$2+6&gt;=B2),"X",""),"")</f>
        <v/>
      </c>
      <c r="J2" s="33">
        <f>IF(AND(B2&lt;&gt;"",D2&lt;&gt;""),IF(AND(B$2+7&lt;=C2,B$2+13&gt;=B2),"X",""),"")</f>
        <v/>
      </c>
      <c r="K2" s="33">
        <f>IF(AND(B2&lt;&gt;"",D2&lt;&gt;""),IF(AND(B$2+14&lt;=C2,B$2+20&gt;=B2),"X",""),"")</f>
        <v/>
      </c>
      <c r="L2" s="33">
        <f>IF(AND(B2&lt;&gt;"",D2&lt;&gt;""),IF(AND(B$2+21&lt;=C2,B$2+27&gt;=B2),"X",""),"")</f>
        <v/>
      </c>
      <c r="M2" s="33">
        <f>IF(AND(B2&lt;&gt;"",D2&lt;&gt;""),IF(AND(B$2+28&lt;=C2,B$2+34&gt;=B2),"X",""),"")</f>
        <v/>
      </c>
      <c r="N2" s="33">
        <f>IF(AND(B2&lt;&gt;"",D2&lt;&gt;""),IF(AND(B$2+35&lt;=C2,B$2+41&gt;=B2),"X",""),"")</f>
        <v/>
      </c>
      <c r="O2" s="33">
        <f>IF(AND(B2&lt;&gt;"",D2&lt;&gt;""),IF(AND(B$2+42&lt;=C2,B$2+48&gt;=B2),"X",""),"")</f>
        <v/>
      </c>
      <c r="P2" s="33">
        <f>IF(AND(B2&lt;&gt;"",D2&lt;&gt;""),IF(AND(B$2+49&lt;=C2,B$2+55&gt;=B2),"X",""),"")</f>
        <v/>
      </c>
      <c r="Q2" s="33">
        <f>IF(AND(B2&lt;&gt;"",D2&lt;&gt;""),IF(AND(B$2+56&lt;=C2,B$2+62&gt;=B2),"X",""),"")</f>
        <v/>
      </c>
      <c r="R2" s="33">
        <f>IF(AND(B2&lt;&gt;"",D2&lt;&gt;""),IF(AND(B$2+63&lt;=C2,B$2+69&gt;=B2),"X",""),"")</f>
        <v/>
      </c>
      <c r="S2" s="33">
        <f>IF(AND(B2&lt;&gt;"",D2&lt;&gt;""),IF(AND(B$2+70&lt;=C2,B$2+76&gt;=B2),"X",""),"")</f>
        <v/>
      </c>
      <c r="T2" s="33">
        <f>IF(AND(B2&lt;&gt;"",D2&lt;&gt;""),IF(AND(B$2+77&lt;=C2,B$2+83&gt;=B2),"X",""),"")</f>
        <v/>
      </c>
    </row>
    <row r="3">
      <c r="A3" s="25" t="inlineStr">
        <is>
          <t>UI/UX Design</t>
        </is>
      </c>
      <c r="B3" s="34">
        <f>C2+1</f>
        <v/>
      </c>
      <c r="C3" s="34">
        <f>B3+D3-1</f>
        <v/>
      </c>
      <c r="D3" s="25" t="n">
        <v>8</v>
      </c>
      <c r="E3" s="25" t="inlineStr">
        <is>
          <t>Discovery</t>
        </is>
      </c>
      <c r="F3" s="25" t="inlineStr">
        <is>
          <t>Designer</t>
        </is>
      </c>
      <c r="G3" s="25" t="inlineStr">
        <is>
          <t>Not Started</t>
        </is>
      </c>
      <c r="I3" s="33">
        <f>IF(AND(B3&lt;&gt;"",D3&lt;&gt;""),IF(AND(B$2+0&lt;=C3,B$2+6&gt;=B3),"X",""),"")</f>
        <v/>
      </c>
      <c r="J3" s="33">
        <f>IF(AND(B3&lt;&gt;"",D3&lt;&gt;""),IF(AND(B$2+7&lt;=C3,B$2+13&gt;=B3),"X",""),"")</f>
        <v/>
      </c>
      <c r="K3" s="33">
        <f>IF(AND(B3&lt;&gt;"",D3&lt;&gt;""),IF(AND(B$2+14&lt;=C3,B$2+20&gt;=B3),"X",""),"")</f>
        <v/>
      </c>
      <c r="L3" s="33">
        <f>IF(AND(B3&lt;&gt;"",D3&lt;&gt;""),IF(AND(B$2+21&lt;=C3,B$2+27&gt;=B3),"X",""),"")</f>
        <v/>
      </c>
      <c r="M3" s="33">
        <f>IF(AND(B3&lt;&gt;"",D3&lt;&gt;""),IF(AND(B$2+28&lt;=C3,B$2+34&gt;=B3),"X",""),"")</f>
        <v/>
      </c>
      <c r="N3" s="33">
        <f>IF(AND(B3&lt;&gt;"",D3&lt;&gt;""),IF(AND(B$2+35&lt;=C3,B$2+41&gt;=B3),"X",""),"")</f>
        <v/>
      </c>
      <c r="O3" s="33">
        <f>IF(AND(B3&lt;&gt;"",D3&lt;&gt;""),IF(AND(B$2+42&lt;=C3,B$2+48&gt;=B3),"X",""),"")</f>
        <v/>
      </c>
      <c r="P3" s="33">
        <f>IF(AND(B3&lt;&gt;"",D3&lt;&gt;""),IF(AND(B$2+49&lt;=C3,B$2+55&gt;=B3),"X",""),"")</f>
        <v/>
      </c>
      <c r="Q3" s="33">
        <f>IF(AND(B3&lt;&gt;"",D3&lt;&gt;""),IF(AND(B$2+56&lt;=C3,B$2+62&gt;=B3),"X",""),"")</f>
        <v/>
      </c>
      <c r="R3" s="33">
        <f>IF(AND(B3&lt;&gt;"",D3&lt;&gt;""),IF(AND(B$2+63&lt;=C3,B$2+69&gt;=B3),"X",""),"")</f>
        <v/>
      </c>
      <c r="S3" s="33">
        <f>IF(AND(B3&lt;&gt;"",D3&lt;&gt;""),IF(AND(B$2+70&lt;=C3,B$2+76&gt;=B3),"X",""),"")</f>
        <v/>
      </c>
      <c r="T3" s="33">
        <f>IF(AND(B3&lt;&gt;"",D3&lt;&gt;""),IF(AND(B$2+77&lt;=C3,B$2+83&gt;=B3),"X",""),"")</f>
        <v/>
      </c>
    </row>
    <row r="4">
      <c r="A4" s="22" t="inlineStr">
        <is>
          <t>Frontend Development</t>
        </is>
      </c>
      <c r="B4" s="32">
        <f>C3+1</f>
        <v/>
      </c>
      <c r="C4" s="32">
        <f>B4+D4-1</f>
        <v/>
      </c>
      <c r="D4" s="22" t="n">
        <v>15</v>
      </c>
      <c r="E4" s="22" t="inlineStr">
        <is>
          <t>Design</t>
        </is>
      </c>
      <c r="F4" s="22" t="inlineStr">
        <is>
          <t>Frontend Dev</t>
        </is>
      </c>
      <c r="G4" s="22" t="inlineStr">
        <is>
          <t>Not Started</t>
        </is>
      </c>
      <c r="I4" s="33">
        <f>IF(AND(B4&lt;&gt;"",D4&lt;&gt;""),IF(AND(B$2+0&lt;=C4,B$2+6&gt;=B4),"X",""),"")</f>
        <v/>
      </c>
      <c r="J4" s="33">
        <f>IF(AND(B4&lt;&gt;"",D4&lt;&gt;""),IF(AND(B$2+7&lt;=C4,B$2+13&gt;=B4),"X",""),"")</f>
        <v/>
      </c>
      <c r="K4" s="33">
        <f>IF(AND(B4&lt;&gt;"",D4&lt;&gt;""),IF(AND(B$2+14&lt;=C4,B$2+20&gt;=B4),"X",""),"")</f>
        <v/>
      </c>
      <c r="L4" s="33">
        <f>IF(AND(B4&lt;&gt;"",D4&lt;&gt;""),IF(AND(B$2+21&lt;=C4,B$2+27&gt;=B4),"X",""),"")</f>
        <v/>
      </c>
      <c r="M4" s="33">
        <f>IF(AND(B4&lt;&gt;"",D4&lt;&gt;""),IF(AND(B$2+28&lt;=C4,B$2+34&gt;=B4),"X",""),"")</f>
        <v/>
      </c>
      <c r="N4" s="33">
        <f>IF(AND(B4&lt;&gt;"",D4&lt;&gt;""),IF(AND(B$2+35&lt;=C4,B$2+41&gt;=B4),"X",""),"")</f>
        <v/>
      </c>
      <c r="O4" s="33">
        <f>IF(AND(B4&lt;&gt;"",D4&lt;&gt;""),IF(AND(B$2+42&lt;=C4,B$2+48&gt;=B4),"X",""),"")</f>
        <v/>
      </c>
      <c r="P4" s="33">
        <f>IF(AND(B4&lt;&gt;"",D4&lt;&gt;""),IF(AND(B$2+49&lt;=C4,B$2+55&gt;=B4),"X",""),"")</f>
        <v/>
      </c>
      <c r="Q4" s="33">
        <f>IF(AND(B4&lt;&gt;"",D4&lt;&gt;""),IF(AND(B$2+56&lt;=C4,B$2+62&gt;=B4),"X",""),"")</f>
        <v/>
      </c>
      <c r="R4" s="33">
        <f>IF(AND(B4&lt;&gt;"",D4&lt;&gt;""),IF(AND(B$2+63&lt;=C4,B$2+69&gt;=B4),"X",""),"")</f>
        <v/>
      </c>
      <c r="S4" s="33">
        <f>IF(AND(B4&lt;&gt;"",D4&lt;&gt;""),IF(AND(B$2+70&lt;=C4,B$2+76&gt;=B4),"X",""),"")</f>
        <v/>
      </c>
      <c r="T4" s="33">
        <f>IF(AND(B4&lt;&gt;"",D4&lt;&gt;""),IF(AND(B$2+77&lt;=C4,B$2+83&gt;=B4),"X",""),"")</f>
        <v/>
      </c>
    </row>
    <row r="5">
      <c r="A5" s="25" t="inlineStr">
        <is>
          <t>Backend Development</t>
        </is>
      </c>
      <c r="B5" s="34">
        <f>C4+1</f>
        <v/>
      </c>
      <c r="C5" s="34">
        <f>B5+D5-1</f>
        <v/>
      </c>
      <c r="D5" s="25" t="n">
        <v>15</v>
      </c>
      <c r="E5" s="25" t="inlineStr">
        <is>
          <t>Discovery</t>
        </is>
      </c>
      <c r="F5" s="25" t="inlineStr">
        <is>
          <t>Backend Dev</t>
        </is>
      </c>
      <c r="G5" s="25" t="inlineStr">
        <is>
          <t>Not Started</t>
        </is>
      </c>
      <c r="I5" s="33">
        <f>IF(AND(B5&lt;&gt;"",D5&lt;&gt;""),IF(AND(B$2+0&lt;=C5,B$2+6&gt;=B5),"X",""),"")</f>
        <v/>
      </c>
      <c r="J5" s="33">
        <f>IF(AND(B5&lt;&gt;"",D5&lt;&gt;""),IF(AND(B$2+7&lt;=C5,B$2+13&gt;=B5),"X",""),"")</f>
        <v/>
      </c>
      <c r="K5" s="33">
        <f>IF(AND(B5&lt;&gt;"",D5&lt;&gt;""),IF(AND(B$2+14&lt;=C5,B$2+20&gt;=B5),"X",""),"")</f>
        <v/>
      </c>
      <c r="L5" s="33">
        <f>IF(AND(B5&lt;&gt;"",D5&lt;&gt;""),IF(AND(B$2+21&lt;=C5,B$2+27&gt;=B5),"X",""),"")</f>
        <v/>
      </c>
      <c r="M5" s="33">
        <f>IF(AND(B5&lt;&gt;"",D5&lt;&gt;""),IF(AND(B$2+28&lt;=C5,B$2+34&gt;=B5),"X",""),"")</f>
        <v/>
      </c>
      <c r="N5" s="33">
        <f>IF(AND(B5&lt;&gt;"",D5&lt;&gt;""),IF(AND(B$2+35&lt;=C5,B$2+41&gt;=B5),"X",""),"")</f>
        <v/>
      </c>
      <c r="O5" s="33">
        <f>IF(AND(B5&lt;&gt;"",D5&lt;&gt;""),IF(AND(B$2+42&lt;=C5,B$2+48&gt;=B5),"X",""),"")</f>
        <v/>
      </c>
      <c r="P5" s="33">
        <f>IF(AND(B5&lt;&gt;"",D5&lt;&gt;""),IF(AND(B$2+49&lt;=C5,B$2+55&gt;=B5),"X",""),"")</f>
        <v/>
      </c>
      <c r="Q5" s="33">
        <f>IF(AND(B5&lt;&gt;"",D5&lt;&gt;""),IF(AND(B$2+56&lt;=C5,B$2+62&gt;=B5),"X",""),"")</f>
        <v/>
      </c>
      <c r="R5" s="33">
        <f>IF(AND(B5&lt;&gt;"",D5&lt;&gt;""),IF(AND(B$2+63&lt;=C5,B$2+69&gt;=B5),"X",""),"")</f>
        <v/>
      </c>
      <c r="S5" s="33">
        <f>IF(AND(B5&lt;&gt;"",D5&lt;&gt;""),IF(AND(B$2+70&lt;=C5,B$2+76&gt;=B5),"X",""),"")</f>
        <v/>
      </c>
      <c r="T5" s="33">
        <f>IF(AND(B5&lt;&gt;"",D5&lt;&gt;""),IF(AND(B$2+77&lt;=C5,B$2+83&gt;=B5),"X",""),"")</f>
        <v/>
      </c>
    </row>
    <row r="6">
      <c r="A6" s="22" t="inlineStr">
        <is>
          <t>Integration &amp; Testing</t>
        </is>
      </c>
      <c r="B6" s="32">
        <f>C5+1</f>
        <v/>
      </c>
      <c r="C6" s="32">
        <f>B6+D6-1</f>
        <v/>
      </c>
      <c r="D6" s="22" t="n">
        <v>10</v>
      </c>
      <c r="E6" s="22" t="inlineStr">
        <is>
          <t>Frontend, Backend</t>
        </is>
      </c>
      <c r="F6" s="22" t="inlineStr">
        <is>
          <t>Full Team</t>
        </is>
      </c>
      <c r="G6" s="22" t="inlineStr">
        <is>
          <t>Not Started</t>
        </is>
      </c>
      <c r="I6" s="33">
        <f>IF(AND(B6&lt;&gt;"",D6&lt;&gt;""),IF(AND(B$2+0&lt;=C6,B$2+6&gt;=B6),"X",""),"")</f>
        <v/>
      </c>
      <c r="J6" s="33">
        <f>IF(AND(B6&lt;&gt;"",D6&lt;&gt;""),IF(AND(B$2+7&lt;=C6,B$2+13&gt;=B6),"X",""),"")</f>
        <v/>
      </c>
      <c r="K6" s="33">
        <f>IF(AND(B6&lt;&gt;"",D6&lt;&gt;""),IF(AND(B$2+14&lt;=C6,B$2+20&gt;=B6),"X",""),"")</f>
        <v/>
      </c>
      <c r="L6" s="33">
        <f>IF(AND(B6&lt;&gt;"",D6&lt;&gt;""),IF(AND(B$2+21&lt;=C6,B$2+27&gt;=B6),"X",""),"")</f>
        <v/>
      </c>
      <c r="M6" s="33">
        <f>IF(AND(B6&lt;&gt;"",D6&lt;&gt;""),IF(AND(B$2+28&lt;=C6,B$2+34&gt;=B6),"X",""),"")</f>
        <v/>
      </c>
      <c r="N6" s="33">
        <f>IF(AND(B6&lt;&gt;"",D6&lt;&gt;""),IF(AND(B$2+35&lt;=C6,B$2+41&gt;=B6),"X",""),"")</f>
        <v/>
      </c>
      <c r="O6" s="33">
        <f>IF(AND(B6&lt;&gt;"",D6&lt;&gt;""),IF(AND(B$2+42&lt;=C6,B$2+48&gt;=B6),"X",""),"")</f>
        <v/>
      </c>
      <c r="P6" s="33">
        <f>IF(AND(B6&lt;&gt;"",D6&lt;&gt;""),IF(AND(B$2+49&lt;=C6,B$2+55&gt;=B6),"X",""),"")</f>
        <v/>
      </c>
      <c r="Q6" s="33">
        <f>IF(AND(B6&lt;&gt;"",D6&lt;&gt;""),IF(AND(B$2+56&lt;=C6,B$2+62&gt;=B6),"X",""),"")</f>
        <v/>
      </c>
      <c r="R6" s="33">
        <f>IF(AND(B6&lt;&gt;"",D6&lt;&gt;""),IF(AND(B$2+63&lt;=C6,B$2+69&gt;=B6),"X",""),"")</f>
        <v/>
      </c>
      <c r="S6" s="33">
        <f>IF(AND(B6&lt;&gt;"",D6&lt;&gt;""),IF(AND(B$2+70&lt;=C6,B$2+76&gt;=B6),"X",""),"")</f>
        <v/>
      </c>
      <c r="T6" s="33">
        <f>IF(AND(B6&lt;&gt;"",D6&lt;&gt;""),IF(AND(B$2+77&lt;=C6,B$2+83&gt;=B6),"X",""),"")</f>
        <v/>
      </c>
    </row>
    <row r="7">
      <c r="A7" s="25" t="inlineStr">
        <is>
          <t>Deployment &amp; Launch</t>
        </is>
      </c>
      <c r="B7" s="34">
        <f>C6+1</f>
        <v/>
      </c>
      <c r="C7" s="34">
        <f>B7+D7-1</f>
        <v/>
      </c>
      <c r="D7" s="25" t="n">
        <v>3</v>
      </c>
      <c r="E7" s="25" t="inlineStr">
        <is>
          <t>Testing</t>
        </is>
      </c>
      <c r="F7" s="25" t="inlineStr">
        <is>
          <t>DevOps</t>
        </is>
      </c>
      <c r="G7" s="25" t="inlineStr">
        <is>
          <t>Not Started</t>
        </is>
      </c>
      <c r="I7" s="33">
        <f>IF(AND(B7&lt;&gt;"",D7&lt;&gt;""),IF(AND(B$2+0&lt;=C7,B$2+6&gt;=B7),"X",""),"")</f>
        <v/>
      </c>
      <c r="J7" s="33">
        <f>IF(AND(B7&lt;&gt;"",D7&lt;&gt;""),IF(AND(B$2+7&lt;=C7,B$2+13&gt;=B7),"X",""),"")</f>
        <v/>
      </c>
      <c r="K7" s="33">
        <f>IF(AND(B7&lt;&gt;"",D7&lt;&gt;""),IF(AND(B$2+14&lt;=C7,B$2+20&gt;=B7),"X",""),"")</f>
        <v/>
      </c>
      <c r="L7" s="33">
        <f>IF(AND(B7&lt;&gt;"",D7&lt;&gt;""),IF(AND(B$2+21&lt;=C7,B$2+27&gt;=B7),"X",""),"")</f>
        <v/>
      </c>
      <c r="M7" s="33">
        <f>IF(AND(B7&lt;&gt;"",D7&lt;&gt;""),IF(AND(B$2+28&lt;=C7,B$2+34&gt;=B7),"X",""),"")</f>
        <v/>
      </c>
      <c r="N7" s="33">
        <f>IF(AND(B7&lt;&gt;"",D7&lt;&gt;""),IF(AND(B$2+35&lt;=C7,B$2+41&gt;=B7),"X",""),"")</f>
        <v/>
      </c>
      <c r="O7" s="33">
        <f>IF(AND(B7&lt;&gt;"",D7&lt;&gt;""),IF(AND(B$2+42&lt;=C7,B$2+48&gt;=B7),"X",""),"")</f>
        <v/>
      </c>
      <c r="P7" s="33">
        <f>IF(AND(B7&lt;&gt;"",D7&lt;&gt;""),IF(AND(B$2+49&lt;=C7,B$2+55&gt;=B7),"X",""),"")</f>
        <v/>
      </c>
      <c r="Q7" s="33">
        <f>IF(AND(B7&lt;&gt;"",D7&lt;&gt;""),IF(AND(B$2+56&lt;=C7,B$2+62&gt;=B7),"X",""),"")</f>
        <v/>
      </c>
      <c r="R7" s="33">
        <f>IF(AND(B7&lt;&gt;"",D7&lt;&gt;""),IF(AND(B$2+63&lt;=C7,B$2+69&gt;=B7),"X",""),"")</f>
        <v/>
      </c>
      <c r="S7" s="33">
        <f>IF(AND(B7&lt;&gt;"",D7&lt;&gt;""),IF(AND(B$2+70&lt;=C7,B$2+76&gt;=B7),"X",""),"")</f>
        <v/>
      </c>
      <c r="T7" s="33">
        <f>IF(AND(B7&lt;&gt;"",D7&lt;&gt;""),IF(AND(B$2+77&lt;=C7,B$2+83&gt;=B7),"X",""),"")</f>
        <v/>
      </c>
    </row>
    <row r="8">
      <c r="A8" s="22" t="inlineStr">
        <is>
          <t>Buffer</t>
        </is>
      </c>
      <c r="B8" s="32">
        <f>C7+1</f>
        <v/>
      </c>
      <c r="C8" s="32">
        <f>B8+D8-1</f>
        <v/>
      </c>
      <c r="D8" s="22">
        <f>ROUND(SUM(D2:D7)*0.2,0)</f>
        <v/>
      </c>
      <c r="E8" s="22" t="inlineStr">
        <is>
          <t>All phases</t>
        </is>
      </c>
      <c r="F8" s="22" t="inlineStr">
        <is>
          <t>PM</t>
        </is>
      </c>
      <c r="G8" s="22" t="inlineStr">
        <is>
          <t>Not Started</t>
        </is>
      </c>
      <c r="I8" s="33">
        <f>IF(AND(B8&lt;&gt;"",D8&lt;&gt;""),IF(AND(B$2+0&lt;=C8,B$2+6&gt;=B8),"X",""),"")</f>
        <v/>
      </c>
      <c r="J8" s="33">
        <f>IF(AND(B8&lt;&gt;"",D8&lt;&gt;""),IF(AND(B$2+7&lt;=C8,B$2+13&gt;=B8),"X",""),"")</f>
        <v/>
      </c>
      <c r="K8" s="33">
        <f>IF(AND(B8&lt;&gt;"",D8&lt;&gt;""),IF(AND(B$2+14&lt;=C8,B$2+20&gt;=B8),"X",""),"")</f>
        <v/>
      </c>
      <c r="L8" s="33">
        <f>IF(AND(B8&lt;&gt;"",D8&lt;&gt;""),IF(AND(B$2+21&lt;=C8,B$2+27&gt;=B8),"X",""),"")</f>
        <v/>
      </c>
      <c r="M8" s="33">
        <f>IF(AND(B8&lt;&gt;"",D8&lt;&gt;""),IF(AND(B$2+28&lt;=C8,B$2+34&gt;=B8),"X",""),"")</f>
        <v/>
      </c>
      <c r="N8" s="33">
        <f>IF(AND(B8&lt;&gt;"",D8&lt;&gt;""),IF(AND(B$2+35&lt;=C8,B$2+41&gt;=B8),"X",""),"")</f>
        <v/>
      </c>
      <c r="O8" s="33">
        <f>IF(AND(B8&lt;&gt;"",D8&lt;&gt;""),IF(AND(B$2+42&lt;=C8,B$2+48&gt;=B8),"X",""),"")</f>
        <v/>
      </c>
      <c r="P8" s="33">
        <f>IF(AND(B8&lt;&gt;"",D8&lt;&gt;""),IF(AND(B$2+49&lt;=C8,B$2+55&gt;=B8),"X",""),"")</f>
        <v/>
      </c>
      <c r="Q8" s="33">
        <f>IF(AND(B8&lt;&gt;"",D8&lt;&gt;""),IF(AND(B$2+56&lt;=C8,B$2+62&gt;=B8),"X",""),"")</f>
        <v/>
      </c>
      <c r="R8" s="33">
        <f>IF(AND(B8&lt;&gt;"",D8&lt;&gt;""),IF(AND(B$2+63&lt;=C8,B$2+69&gt;=B8),"X",""),"")</f>
        <v/>
      </c>
      <c r="S8" s="33">
        <f>IF(AND(B8&lt;&gt;"",D8&lt;&gt;""),IF(AND(B$2+70&lt;=C8,B$2+76&gt;=B8),"X",""),"")</f>
        <v/>
      </c>
      <c r="T8" s="33">
        <f>IF(AND(B8&lt;&gt;"",D8&lt;&gt;""),IF(AND(B$2+77&lt;=C8,B$2+83&gt;=B8),"X",""),"")</f>
        <v/>
      </c>
    </row>
    <row r="10">
      <c r="A10" s="26" t="inlineStr">
        <is>
          <t>TOTAL PROJECT DURATION</t>
        </is>
      </c>
      <c r="D10" s="35">
        <f>SUM(D2:D8)</f>
        <v/>
      </c>
    </row>
    <row r="11">
      <c r="A11" s="28" t="inlineStr">
        <is>
          <t>Estimated End Date</t>
        </is>
      </c>
      <c r="D11" s="36">
        <f>C8</f>
        <v/>
      </c>
    </row>
  </sheetData>
  <conditionalFormatting sqref="G2:G20">
    <cfRule type="cellIs" priority="1" operator="equal" dxfId="2">
      <formula>"Done"</formula>
    </cfRule>
    <cfRule type="cellIs" priority="2" operator="equal" dxfId="1">
      <formula>"In Progress"</formula>
    </cfRule>
    <cfRule type="cellIs" priority="3" operator="equal" dxfId="3">
      <formula>"Blocked"</formula>
    </cfRule>
  </conditionalFormatting>
  <conditionalFormatting sqref="I2:T2">
    <cfRule type="cellIs" priority="4" operator="equal" dxfId="6">
      <formula>"X"</formula>
    </cfRule>
  </conditionalFormatting>
  <conditionalFormatting sqref="I3:T3">
    <cfRule type="cellIs" priority="5" operator="equal" dxfId="7">
      <formula>"X"</formula>
    </cfRule>
  </conditionalFormatting>
  <conditionalFormatting sqref="I4:T4">
    <cfRule type="cellIs" priority="6" operator="equal" dxfId="8">
      <formula>"X"</formula>
    </cfRule>
  </conditionalFormatting>
  <conditionalFormatting sqref="I5:T5">
    <cfRule type="cellIs" priority="7" operator="equal" dxfId="9">
      <formula>"X"</formula>
    </cfRule>
  </conditionalFormatting>
  <conditionalFormatting sqref="I6:T6">
    <cfRule type="cellIs" priority="8" operator="equal" dxfId="10">
      <formula>"X"</formula>
    </cfRule>
  </conditionalFormatting>
  <conditionalFormatting sqref="I7:T7">
    <cfRule type="cellIs" priority="9" operator="equal" dxfId="11">
      <formula>"X"</formula>
    </cfRule>
  </conditionalFormatting>
  <conditionalFormatting sqref="I8:T8">
    <cfRule type="cellIs" priority="10" operator="equal" dxfId="12">
      <formula>"X"</formula>
    </cfRule>
  </conditionalFormatting>
  <dataValidations count="1">
    <dataValidation sqref="G2:G20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69E2E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8" customWidth="1" min="4" max="4"/>
  </cols>
  <sheetData>
    <row r="1">
      <c r="A1" s="37" t="inlineStr">
        <is>
          <t>PRICING INPUTS</t>
        </is>
      </c>
      <c r="B1" s="4" t="n"/>
      <c r="C1" s="4" t="n"/>
      <c r="D1" s="4" t="n"/>
    </row>
    <row r="3">
      <c r="A3" s="5" t="inlineStr">
        <is>
          <t>Hourly Rate ($)</t>
        </is>
      </c>
      <c r="C3" s="38" t="n">
        <v>95</v>
      </c>
    </row>
    <row r="4">
      <c r="A4" s="5" t="inlineStr">
        <is>
          <t>Total Hours (from Features)</t>
        </is>
      </c>
      <c r="C4" s="39">
        <f>'Feature Breakdown'!C15</f>
        <v/>
      </c>
    </row>
    <row r="5">
      <c r="A5" s="5" t="inlineStr">
        <is>
          <t>Tax Rate (%)</t>
        </is>
      </c>
      <c r="C5" s="40" t="n">
        <v>0.1</v>
      </c>
    </row>
    <row r="6">
      <c r="A6" s="5" t="inlineStr">
        <is>
          <t>Platform Fee (%)</t>
        </is>
      </c>
      <c r="C6" s="40" t="n">
        <v>0.05</v>
      </c>
    </row>
    <row r="7">
      <c r="A7" s="5" t="inlineStr">
        <is>
          <t>Desired Profit Margin (%)</t>
        </is>
      </c>
      <c r="C7" s="40" t="n">
        <v>0.2</v>
      </c>
    </row>
    <row r="10">
      <c r="A10" s="8" t="inlineStr">
        <is>
          <t>PRICING MODELS</t>
        </is>
      </c>
      <c r="B10" s="4" t="n"/>
      <c r="C10" s="4" t="n"/>
      <c r="D10" s="4" t="n"/>
    </row>
    <row r="11">
      <c r="A11" s="41" t="inlineStr">
        <is>
          <t>Model</t>
        </is>
      </c>
      <c r="B11" s="41" t="inlineStr">
        <is>
          <t>Total Price</t>
        </is>
      </c>
      <c r="C11" s="41" t="inlineStr">
        <is>
          <t>Description</t>
        </is>
      </c>
    </row>
    <row r="12">
      <c r="A12" s="22" t="inlineStr">
        <is>
          <t>Hourly Model</t>
        </is>
      </c>
      <c r="B12" s="42">
        <f>C3*C4</f>
        <v/>
      </c>
      <c r="C12" s="22" t="inlineStr">
        <is>
          <t>Hours x Rate</t>
        </is>
      </c>
    </row>
    <row r="13">
      <c r="A13" s="25" t="inlineStr">
        <is>
          <t>Fixed Price Model</t>
        </is>
      </c>
      <c r="B13" s="43">
        <f>C3*C4*(1+C7)</f>
        <v/>
      </c>
      <c r="C13" s="25" t="inlineStr">
        <is>
          <t>Hourly + Profit Margin</t>
        </is>
      </c>
    </row>
    <row r="14">
      <c r="A14" s="22" t="inlineStr">
        <is>
          <t>Value-Based Model</t>
        </is>
      </c>
      <c r="B14" s="42">
        <f>C3*C4*(1+C7)*1.5</f>
        <v/>
      </c>
      <c r="C14" s="22" t="inlineStr">
        <is>
          <t>Fixed + 50% value premium</t>
        </is>
      </c>
    </row>
    <row r="17">
      <c r="A17" s="3" t="inlineStr">
        <is>
          <t>COST BREAKDOWN (FIXED PRICE)</t>
        </is>
      </c>
      <c r="B17" s="4" t="n"/>
      <c r="C17" s="4" t="n"/>
      <c r="D17" s="4" t="n"/>
    </row>
    <row r="18">
      <c r="A18" s="15" t="inlineStr">
        <is>
          <t>Subtotal (Hours x Rate)</t>
        </is>
      </c>
      <c r="C18" s="44">
        <f>C3*C4</f>
        <v/>
      </c>
    </row>
    <row r="19">
      <c r="A19" s="15" t="inlineStr">
        <is>
          <t>Profit Margin</t>
        </is>
      </c>
      <c r="C19" s="44">
        <f>C18*C7</f>
        <v/>
      </c>
    </row>
    <row r="20">
      <c r="A20" s="15" t="inlineStr">
        <is>
          <t>Subtotal + Margin</t>
        </is>
      </c>
      <c r="C20" s="44">
        <f>C18+C19</f>
        <v/>
      </c>
    </row>
    <row r="21">
      <c r="A21" s="15" t="inlineStr">
        <is>
          <t>Taxes</t>
        </is>
      </c>
      <c r="C21" s="44">
        <f>C20*C5</f>
        <v/>
      </c>
    </row>
    <row r="22">
      <c r="A22" s="15" t="inlineStr">
        <is>
          <t>Platform Fees</t>
        </is>
      </c>
      <c r="C22" s="44">
        <f>C20*C6</f>
        <v/>
      </c>
    </row>
    <row r="23">
      <c r="A23" s="45" t="inlineStr">
        <is>
          <t>TOTAL PROJECT COST</t>
        </is>
      </c>
      <c r="C23" s="46">
        <f>C20+C21+C22</f>
        <v/>
      </c>
    </row>
    <row r="26">
      <c r="A26" s="20" t="inlineStr">
        <is>
          <t>WHAT-IF SCENARIOS</t>
        </is>
      </c>
      <c r="B26" s="4" t="n"/>
      <c r="C26" s="4" t="n"/>
      <c r="D26" s="4" t="n"/>
    </row>
    <row r="27">
      <c r="A27" s="21" t="inlineStr">
        <is>
          <t>Scenario</t>
        </is>
      </c>
      <c r="B27" s="21" t="inlineStr">
        <is>
          <t>Multiplier</t>
        </is>
      </c>
      <c r="C27" s="21" t="inlineStr">
        <is>
          <t>Hours</t>
        </is>
      </c>
      <c r="D27" s="21" t="inlineStr">
        <is>
          <t>Total Cost</t>
        </is>
      </c>
    </row>
    <row r="28">
      <c r="A28" s="22" t="inlineStr">
        <is>
          <t>Best Case (optimistic)</t>
        </is>
      </c>
      <c r="B28" s="47" t="n">
        <v>0.8</v>
      </c>
      <c r="C28" s="24">
        <f>C4*B28</f>
        <v/>
      </c>
      <c r="D28" s="48">
        <f>C3*C28*(1+C7)</f>
        <v/>
      </c>
    </row>
    <row r="29">
      <c r="A29" s="25" t="inlineStr">
        <is>
          <t>Expected Case</t>
        </is>
      </c>
      <c r="B29" s="49" t="n">
        <v>1</v>
      </c>
      <c r="C29" s="24">
        <f>C4*B29</f>
        <v/>
      </c>
      <c r="D29" s="48">
        <f>C3*C29*(1+C7)</f>
        <v/>
      </c>
    </row>
    <row r="30">
      <c r="A30" s="22" t="inlineStr">
        <is>
          <t>Worst Case (pessimistic)</t>
        </is>
      </c>
      <c r="B30" s="47" t="n">
        <v>1.5</v>
      </c>
      <c r="C30" s="24">
        <f>C4*B30</f>
        <v/>
      </c>
      <c r="D30" s="48">
        <f>C3*C30*(1+C7)</f>
        <v/>
      </c>
    </row>
  </sheetData>
  <mergeCells count="4">
    <mergeCell ref="A1:D1"/>
    <mergeCell ref="A17:D17"/>
    <mergeCell ref="A26:D26"/>
    <mergeCell ref="A10:D10"/>
  </mergeCells>
  <conditionalFormatting sqref="A29:D29">
    <cfRule type="expression" priority="1" dxfId="13">
      <formula>TRUE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3E3E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2" customWidth="1" min="7" max="7"/>
  </cols>
  <sheetData>
    <row r="1">
      <c r="A1" s="21" t="inlineStr">
        <is>
          <t>Risk Description</t>
        </is>
      </c>
      <c r="B1" s="21" t="inlineStr">
        <is>
          <t>Probability</t>
        </is>
      </c>
      <c r="C1" s="21" t="inlineStr">
        <is>
          <t>Impact</t>
        </is>
      </c>
      <c r="D1" s="21" t="inlineStr">
        <is>
          <t>Risk Score</t>
        </is>
      </c>
      <c r="E1" s="21" t="inlineStr">
        <is>
          <t>Mitigation Strategy</t>
        </is>
      </c>
      <c r="F1" s="21" t="inlineStr">
        <is>
          <t>Owner</t>
        </is>
      </c>
      <c r="G1" s="21" t="inlineStr">
        <is>
          <t>Status</t>
        </is>
      </c>
    </row>
    <row r="2">
      <c r="A2" s="22" t="inlineStr">
        <is>
          <t>Scope creep - client adds features mid-project</t>
        </is>
      </c>
      <c r="B2" s="22" t="inlineStr">
        <is>
          <t>High</t>
        </is>
      </c>
      <c r="C2" s="22" t="inlineStr">
        <is>
          <t>High</t>
        </is>
      </c>
      <c r="D2" s="23">
        <f>IF(OR(B2="",C2=""),"",(IF(B2="Low",1,IF(B2="Medium",2,3)))*(IF(C2="Low",1,IF(C2="Medium",2,3))))</f>
        <v/>
      </c>
      <c r="E2" s="22" t="inlineStr">
        <is>
          <t>Define clear scope in contract; use change request process</t>
        </is>
      </c>
      <c r="F2" s="22" t="inlineStr">
        <is>
          <t>PM</t>
        </is>
      </c>
      <c r="G2" s="22" t="inlineStr">
        <is>
          <t>Open</t>
        </is>
      </c>
    </row>
    <row r="3">
      <c r="A3" s="25" t="inlineStr">
        <is>
          <t>Key team member unavailable</t>
        </is>
      </c>
      <c r="B3" s="25" t="inlineStr">
        <is>
          <t>Medium</t>
        </is>
      </c>
      <c r="C3" s="25" t="inlineStr">
        <is>
          <t>High</t>
        </is>
      </c>
      <c r="D3" s="23">
        <f>IF(OR(B3="",C3=""),"",(IF(B3="Low",1,IF(B3="Medium",2,3)))*(IF(C3="Low",1,IF(C3="Medium",2,3))))</f>
        <v/>
      </c>
      <c r="E3" s="25" t="inlineStr">
        <is>
          <t>Cross-train team; document all decisions</t>
        </is>
      </c>
      <c r="F3" s="25" t="inlineStr">
        <is>
          <t>PM</t>
        </is>
      </c>
      <c r="G3" s="25" t="inlineStr">
        <is>
          <t>Open</t>
        </is>
      </c>
    </row>
    <row r="4">
      <c r="A4" s="22" t="inlineStr">
        <is>
          <t>Third-party API changes or goes down</t>
        </is>
      </c>
      <c r="B4" s="22" t="inlineStr">
        <is>
          <t>Medium</t>
        </is>
      </c>
      <c r="C4" s="22" t="inlineStr">
        <is>
          <t>Medium</t>
        </is>
      </c>
      <c r="D4" s="23">
        <f>IF(OR(B4="",C4=""),"",(IF(B4="Low",1,IF(B4="Medium",2,3)))*(IF(C4="Low",1,IF(C4="Medium",2,3))))</f>
        <v/>
      </c>
      <c r="E4" s="22" t="inlineStr">
        <is>
          <t>Use abstraction layer; have fallback plan</t>
        </is>
      </c>
      <c r="F4" s="22" t="inlineStr">
        <is>
          <t>Lead Dev</t>
        </is>
      </c>
      <c r="G4" s="22" t="inlineStr">
        <is>
          <t>Open</t>
        </is>
      </c>
    </row>
    <row r="5">
      <c r="A5" s="25" t="inlineStr">
        <is>
          <t>Client delays feedback/approvals</t>
        </is>
      </c>
      <c r="B5" s="25" t="inlineStr">
        <is>
          <t>High</t>
        </is>
      </c>
      <c r="C5" s="25" t="inlineStr">
        <is>
          <t>Medium</t>
        </is>
      </c>
      <c r="D5" s="23">
        <f>IF(OR(B5="",C5=""),"",(IF(B5="Low",1,IF(B5="Medium",2,3)))*(IF(C5="Low",1,IF(C5="Medium",2,3))))</f>
        <v/>
      </c>
      <c r="E5" s="25" t="inlineStr">
        <is>
          <t>Set SLA for feedback in contract; schedule regular reviews</t>
        </is>
      </c>
      <c r="F5" s="25" t="inlineStr">
        <is>
          <t>PM</t>
        </is>
      </c>
      <c r="G5" s="25" t="inlineStr">
        <is>
          <t>Open</t>
        </is>
      </c>
    </row>
    <row r="6">
      <c r="A6" s="22" t="inlineStr">
        <is>
          <t>Underestimated task complexity</t>
        </is>
      </c>
      <c r="B6" s="22" t="inlineStr">
        <is>
          <t>High</t>
        </is>
      </c>
      <c r="C6" s="22" t="inlineStr">
        <is>
          <t>High</t>
        </is>
      </c>
      <c r="D6" s="23">
        <f>IF(OR(B6="",C6=""),"",(IF(B6="Low",1,IF(B6="Medium",2,3)))*(IF(C6="Low",1,IF(C6="Medium",2,3))))</f>
        <v/>
      </c>
      <c r="E6" s="22" t="inlineStr">
        <is>
          <t>Add 20% buffer; break tasks into smaller pieces</t>
        </is>
      </c>
      <c r="F6" s="22" t="inlineStr">
        <is>
          <t>Lead Dev</t>
        </is>
      </c>
      <c r="G6" s="22" t="inlineStr">
        <is>
          <t>Open</t>
        </is>
      </c>
    </row>
    <row r="7">
      <c r="A7" s="25" t="inlineStr">
        <is>
          <t>Security vulnerability discovered</t>
        </is>
      </c>
      <c r="B7" s="25" t="inlineStr">
        <is>
          <t>Low</t>
        </is>
      </c>
      <c r="C7" s="25" t="inlineStr">
        <is>
          <t>High</t>
        </is>
      </c>
      <c r="D7" s="23">
        <f>IF(OR(B7="",C7=""),"",(IF(B7="Low",1,IF(B7="Medium",2,3)))*(IF(C7="Low",1,IF(C7="Medium",2,3))))</f>
        <v/>
      </c>
      <c r="E7" s="25" t="inlineStr">
        <is>
          <t>Follow OWASP guidelines; schedule security review</t>
        </is>
      </c>
      <c r="F7" s="25" t="inlineStr">
        <is>
          <t>Security</t>
        </is>
      </c>
      <c r="G7" s="25" t="inlineStr">
        <is>
          <t>Open</t>
        </is>
      </c>
    </row>
    <row r="8">
      <c r="A8" s="22" t="inlineStr">
        <is>
          <t>Performance issues at scale</t>
        </is>
      </c>
      <c r="B8" s="22" t="inlineStr">
        <is>
          <t>Medium</t>
        </is>
      </c>
      <c r="C8" s="22" t="inlineStr">
        <is>
          <t>Medium</t>
        </is>
      </c>
      <c r="D8" s="23">
        <f>IF(OR(B8="",C8=""),"",(IF(B8="Low",1,IF(B8="Medium",2,3)))*(IF(C8="Low",1,IF(C8="Medium",2,3))))</f>
        <v/>
      </c>
      <c r="E8" s="22" t="inlineStr">
        <is>
          <t>Load test early; design for scalability from start</t>
        </is>
      </c>
      <c r="F8" s="22" t="inlineStr">
        <is>
          <t>Backend Dev</t>
        </is>
      </c>
      <c r="G8" s="22" t="inlineStr">
        <is>
          <t>Open</t>
        </is>
      </c>
    </row>
    <row r="9">
      <c r="A9" s="25" t="inlineStr">
        <is>
          <t>Technology/framework learning curve</t>
        </is>
      </c>
      <c r="B9" s="25" t="inlineStr">
        <is>
          <t>Medium</t>
        </is>
      </c>
      <c r="C9" s="25" t="inlineStr">
        <is>
          <t>Low</t>
        </is>
      </c>
      <c r="D9" s="23">
        <f>IF(OR(B9="",C9=""),"",(IF(B9="Low",1,IF(B9="Medium",2,3)))*(IF(C9="Low",1,IF(C9="Medium",2,3))))</f>
        <v/>
      </c>
      <c r="E9" s="25" t="inlineStr">
        <is>
          <t>Allocate training time; use proven tech stack</t>
        </is>
      </c>
      <c r="F9" s="25" t="inlineStr">
        <is>
          <t>Lead Dev</t>
        </is>
      </c>
      <c r="G9" s="25" t="inlineStr">
        <is>
          <t>Open</t>
        </is>
      </c>
    </row>
    <row r="10">
      <c r="A10" s="22" t="inlineStr">
        <is>
          <t>Deployment environment issues</t>
        </is>
      </c>
      <c r="B10" s="22" t="inlineStr">
        <is>
          <t>Low</t>
        </is>
      </c>
      <c r="C10" s="22" t="inlineStr">
        <is>
          <t>Medium</t>
        </is>
      </c>
      <c r="D10" s="23">
        <f>IF(OR(B10="",C10=""),"",(IF(B10="Low",1,IF(B10="Medium",2,3)))*(IF(C10="Low",1,IF(C10="Medium",2,3))))</f>
        <v/>
      </c>
      <c r="E10" s="22" t="inlineStr">
        <is>
          <t>Use staging environment; automate deployments</t>
        </is>
      </c>
      <c r="F10" s="22" t="inlineStr">
        <is>
          <t>DevOps</t>
        </is>
      </c>
      <c r="G10" s="22" t="inlineStr">
        <is>
          <t>Open</t>
        </is>
      </c>
    </row>
    <row r="11">
      <c r="A11" s="25" t="inlineStr">
        <is>
          <t>Budget overrun</t>
        </is>
      </c>
      <c r="B11" s="25" t="inlineStr">
        <is>
          <t>Medium</t>
        </is>
      </c>
      <c r="C11" s="25" t="inlineStr">
        <is>
          <t>High</t>
        </is>
      </c>
      <c r="D11" s="23">
        <f>IF(OR(B11="",C11=""),"",(IF(B11="Low",1,IF(B11="Medium",2,3)))*(IF(C11="Low",1,IF(C11="Medium",2,3))))</f>
        <v/>
      </c>
      <c r="E11" s="25" t="inlineStr">
        <is>
          <t>Track hours weekly; flag at 75% budget consumed</t>
        </is>
      </c>
      <c r="F11" s="25" t="inlineStr">
        <is>
          <t>PM</t>
        </is>
      </c>
      <c r="G11" s="25" t="inlineStr">
        <is>
          <t>Open</t>
        </is>
      </c>
    </row>
    <row r="13">
      <c r="A13" s="26" t="inlineStr">
        <is>
          <t>RISK SCORE MATRIX</t>
        </is>
      </c>
    </row>
    <row r="14">
      <c r="A14" s="50" t="inlineStr"/>
      <c r="B14" s="50" t="inlineStr">
        <is>
          <t>Low Impact (1)</t>
        </is>
      </c>
      <c r="C14" s="50" t="inlineStr">
        <is>
          <t>Med Impact (2)</t>
        </is>
      </c>
      <c r="D14" s="50" t="inlineStr">
        <is>
          <t>High Impact (3)</t>
        </is>
      </c>
    </row>
    <row r="15">
      <c r="A15" s="51" t="inlineStr">
        <is>
          <t>High Prob (3)</t>
        </is>
      </c>
      <c r="B15" s="52" t="n">
        <v>3</v>
      </c>
      <c r="C15" s="53" t="n">
        <v>6</v>
      </c>
      <c r="D15" s="53" t="n">
        <v>9</v>
      </c>
    </row>
    <row r="16">
      <c r="A16" s="51" t="inlineStr">
        <is>
          <t>Med Prob (2)</t>
        </is>
      </c>
      <c r="B16" s="54" t="n">
        <v>2</v>
      </c>
      <c r="C16" s="52" t="n">
        <v>4</v>
      </c>
      <c r="D16" s="53" t="n">
        <v>6</v>
      </c>
    </row>
    <row r="17">
      <c r="A17" s="51" t="inlineStr">
        <is>
          <t>Low Prob (1)</t>
        </is>
      </c>
      <c r="B17" s="54" t="n">
        <v>1</v>
      </c>
      <c r="C17" s="54" t="n">
        <v>2</v>
      </c>
      <c r="D17" s="52" t="n">
        <v>3</v>
      </c>
    </row>
  </sheetData>
  <conditionalFormatting sqref="D2:D50">
    <cfRule type="cellIs" priority="1" operator="lessThanOrEqual" dxfId="2">
      <formula>2</formula>
    </cfRule>
    <cfRule type="cellIs" priority="2" operator="between" dxfId="1">
      <formula>3</formula>
      <formula>4</formula>
    </cfRule>
    <cfRule type="cellIs" priority="3" operator="greaterThanOrEqual" dxfId="3">
      <formula>6</formula>
    </cfRule>
  </conditionalFormatting>
  <conditionalFormatting sqref="G2:G50">
    <cfRule type="cellIs" priority="4" operator="equal" dxfId="14">
      <formula>"Closed"</formula>
    </cfRule>
    <cfRule type="cellIs" priority="5" operator="equal" dxfId="15">
      <formula>"Mitigated"</formula>
    </cfRule>
    <cfRule type="cellIs" priority="6" operator="equal" dxfId="16">
      <formula>"Accepted"</formula>
    </cfRule>
  </conditionalFormatting>
  <dataValidations count="3">
    <dataValidation sqref="B2:B50" showDropDown="0" showInputMessage="0" showErrorMessage="0" allowBlank="1" prompt="Select probability level" type="list">
      <formula1>"Low,Medium,High"</formula1>
    </dataValidation>
    <dataValidation sqref="C2:C50" showDropDown="0" showInputMessage="0" showErrorMessage="0" allowBlank="1" prompt="Select impact level" type="list">
      <formula1>"Low,Medium,High"</formula1>
    </dataValidation>
    <dataValidation sqref="G2:G50" showDropDown="0" showInputMessage="0" showErrorMessage="0" allowBlank="1" type="list">
      <formula1>"Open,Mitigated,Closed,Accepted"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5AD5"/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50" customHeight="1">
      <c r="A1" s="55" t="inlineStr">
        <is>
          <t>PROJECT PROPOSAL</t>
        </is>
      </c>
    </row>
    <row r="3">
      <c r="A3" s="28" t="inlineStr">
        <is>
          <t>Project:</t>
        </is>
      </c>
      <c r="C3" s="56">
        <f>'Dashboard'!C4</f>
        <v/>
      </c>
    </row>
    <row r="4">
      <c r="A4" s="28" t="inlineStr">
        <is>
          <t>Client:</t>
        </is>
      </c>
      <c r="C4" s="56">
        <f>'Dashboard'!C5</f>
        <v/>
      </c>
    </row>
    <row r="5">
      <c r="A5" s="28" t="inlineStr">
        <is>
          <t>Date:</t>
        </is>
      </c>
      <c r="C5" s="56">
        <f>'Dashboard'!C6</f>
        <v/>
      </c>
    </row>
    <row r="6">
      <c r="A6" s="28" t="inlineStr">
        <is>
          <t>Prepared by:</t>
        </is>
      </c>
      <c r="C6" s="57" t="inlineStr">
        <is>
          <t>[Your Name / Company]</t>
        </is>
      </c>
    </row>
    <row r="8">
      <c r="A8" s="3" t="inlineStr">
        <is>
          <t>1. PROJECT OVERVIEW</t>
        </is>
      </c>
      <c r="B8" s="4" t="n"/>
      <c r="C8" s="4" t="n"/>
      <c r="D8" s="4" t="n"/>
      <c r="E8" s="4" t="n"/>
    </row>
    <row r="9">
      <c r="A9" s="58" t="inlineStr">
        <is>
          <t>[Describe the project goals, background, and what the client wants to achieve. Keep it concise -- 2-3 paragraphs max. Focus on business outcomes, not technical details.]</t>
        </is>
      </c>
    </row>
    <row r="10"/>
    <row r="11"/>
    <row r="13">
      <c r="A13" s="3" t="inlineStr">
        <is>
          <t>2. SCOPE OF WORK</t>
        </is>
      </c>
      <c r="B13" s="4" t="n"/>
      <c r="C13" s="4" t="n"/>
      <c r="D13" s="4" t="n"/>
      <c r="E13" s="4" t="n"/>
    </row>
    <row r="14">
      <c r="A14" s="59" t="inlineStr">
        <is>
          <t>Feature</t>
        </is>
      </c>
      <c r="B14" s="59" t="inlineStr">
        <is>
          <t>Priority</t>
        </is>
      </c>
      <c r="C14" s="59" t="inlineStr">
        <is>
          <t>Estimated Hours</t>
        </is>
      </c>
    </row>
    <row r="15">
      <c r="A15" s="60">
        <f>'Feature Breakdown'!A2</f>
        <v/>
      </c>
      <c r="B15" s="60">
        <f>'Feature Breakdown'!D2</f>
        <v/>
      </c>
      <c r="C15" s="61">
        <f>'Feature Breakdown'!C2</f>
        <v/>
      </c>
    </row>
    <row r="16">
      <c r="A16" s="60">
        <f>'Feature Breakdown'!A3</f>
        <v/>
      </c>
      <c r="B16" s="60">
        <f>'Feature Breakdown'!D3</f>
        <v/>
      </c>
      <c r="C16" s="61">
        <f>'Feature Breakdown'!C3</f>
        <v/>
      </c>
    </row>
    <row r="17">
      <c r="A17" s="60">
        <f>'Feature Breakdown'!A4</f>
        <v/>
      </c>
      <c r="B17" s="60">
        <f>'Feature Breakdown'!D4</f>
        <v/>
      </c>
      <c r="C17" s="61">
        <f>'Feature Breakdown'!C4</f>
        <v/>
      </c>
    </row>
    <row r="18">
      <c r="A18" s="60">
        <f>'Feature Breakdown'!A5</f>
        <v/>
      </c>
      <c r="B18" s="60">
        <f>'Feature Breakdown'!D5</f>
        <v/>
      </c>
      <c r="C18" s="61">
        <f>'Feature Breakdown'!C5</f>
        <v/>
      </c>
    </row>
    <row r="19">
      <c r="A19" s="60">
        <f>'Feature Breakdown'!A6</f>
        <v/>
      </c>
      <c r="B19" s="60">
        <f>'Feature Breakdown'!D6</f>
        <v/>
      </c>
      <c r="C19" s="61">
        <f>'Feature Breakdown'!C6</f>
        <v/>
      </c>
    </row>
    <row r="20">
      <c r="A20" s="60">
        <f>'Feature Breakdown'!A7</f>
        <v/>
      </c>
      <c r="B20" s="60">
        <f>'Feature Breakdown'!D7</f>
        <v/>
      </c>
      <c r="C20" s="61">
        <f>'Feature Breakdown'!C7</f>
        <v/>
      </c>
    </row>
    <row r="21">
      <c r="A21" s="60">
        <f>'Feature Breakdown'!A8</f>
        <v/>
      </c>
      <c r="B21" s="60">
        <f>'Feature Breakdown'!D8</f>
        <v/>
      </c>
      <c r="C21" s="61">
        <f>'Feature Breakdown'!C8</f>
        <v/>
      </c>
    </row>
    <row r="22">
      <c r="A22" s="60">
        <f>'Feature Breakdown'!A9</f>
        <v/>
      </c>
      <c r="B22" s="60">
        <f>'Feature Breakdown'!D9</f>
        <v/>
      </c>
      <c r="C22" s="61">
        <f>'Feature Breakdown'!C9</f>
        <v/>
      </c>
    </row>
    <row r="23">
      <c r="A23" s="60">
        <f>'Feature Breakdown'!A10</f>
        <v/>
      </c>
      <c r="B23" s="60">
        <f>'Feature Breakdown'!D10</f>
        <v/>
      </c>
      <c r="C23" s="61">
        <f>'Feature Breakdown'!C10</f>
        <v/>
      </c>
    </row>
    <row r="24">
      <c r="A24" s="60">
        <f>'Feature Breakdown'!A11</f>
        <v/>
      </c>
      <c r="B24" s="60">
        <f>'Feature Breakdown'!D11</f>
        <v/>
      </c>
      <c r="C24" s="61">
        <f>'Feature Breakdown'!C11</f>
        <v/>
      </c>
    </row>
    <row r="26">
      <c r="A26" s="3" t="inlineStr">
        <is>
          <t>3. TIMELINE</t>
        </is>
      </c>
      <c r="B26" s="4" t="n"/>
      <c r="C26" s="4" t="n"/>
      <c r="D26" s="4" t="n"/>
      <c r="E26" s="4" t="n"/>
    </row>
    <row r="27">
      <c r="A27" s="59" t="inlineStr">
        <is>
          <t>Phase</t>
        </is>
      </c>
      <c r="B27" s="59" t="inlineStr">
        <is>
          <t>Duration (days)</t>
        </is>
      </c>
      <c r="C27" s="59" t="inlineStr">
        <is>
          <t>Target Dates</t>
        </is>
      </c>
    </row>
    <row r="28">
      <c r="A28" s="60">
        <f>'Timeline Builder'!A2</f>
        <v/>
      </c>
      <c r="B28" s="62">
        <f>'Timeline Builder'!D2</f>
        <v/>
      </c>
      <c r="C28" s="60">
        <f>'Timeline Builder'!B2&amp;" - "&amp;TEXT('Timeline Builder'!C2,"MM/DD/YYYY")</f>
        <v/>
      </c>
    </row>
    <row r="29">
      <c r="A29" s="60">
        <f>'Timeline Builder'!A3</f>
        <v/>
      </c>
      <c r="B29" s="62">
        <f>'Timeline Builder'!D3</f>
        <v/>
      </c>
      <c r="C29" s="60">
        <f>'Timeline Builder'!B3&amp;" - "&amp;TEXT('Timeline Builder'!C3,"MM/DD/YYYY")</f>
        <v/>
      </c>
    </row>
    <row r="30">
      <c r="A30" s="60">
        <f>'Timeline Builder'!A4</f>
        <v/>
      </c>
      <c r="B30" s="62">
        <f>'Timeline Builder'!D4</f>
        <v/>
      </c>
      <c r="C30" s="60">
        <f>'Timeline Builder'!B4&amp;" - "&amp;TEXT('Timeline Builder'!C4,"MM/DD/YYYY")</f>
        <v/>
      </c>
    </row>
    <row r="31">
      <c r="A31" s="60">
        <f>'Timeline Builder'!A5</f>
        <v/>
      </c>
      <c r="B31" s="62">
        <f>'Timeline Builder'!D5</f>
        <v/>
      </c>
      <c r="C31" s="60">
        <f>'Timeline Builder'!B5&amp;" - "&amp;TEXT('Timeline Builder'!C5,"MM/DD/YYYY")</f>
        <v/>
      </c>
    </row>
    <row r="32">
      <c r="A32" s="60">
        <f>'Timeline Builder'!A6</f>
        <v/>
      </c>
      <c r="B32" s="62">
        <f>'Timeline Builder'!D6</f>
        <v/>
      </c>
      <c r="C32" s="60">
        <f>'Timeline Builder'!B6&amp;" - "&amp;TEXT('Timeline Builder'!C6,"MM/DD/YYYY")</f>
        <v/>
      </c>
    </row>
    <row r="33">
      <c r="A33" s="60">
        <f>'Timeline Builder'!A7</f>
        <v/>
      </c>
      <c r="B33" s="62">
        <f>'Timeline Builder'!D7</f>
        <v/>
      </c>
      <c r="C33" s="60">
        <f>'Timeline Builder'!B7&amp;" - "&amp;TEXT('Timeline Builder'!C7,"MM/DD/YYYY")</f>
        <v/>
      </c>
    </row>
    <row r="34">
      <c r="A34" s="60">
        <f>'Timeline Builder'!A8</f>
        <v/>
      </c>
      <c r="B34" s="62">
        <f>'Timeline Builder'!D8</f>
        <v/>
      </c>
      <c r="C34" s="60">
        <f>'Timeline Builder'!B8&amp;" - "&amp;TEXT('Timeline Builder'!C8,"MM/DD/YYYY")</f>
        <v/>
      </c>
    </row>
    <row r="37">
      <c r="A37" s="3" t="inlineStr">
        <is>
          <t>4. DELIVERABLES</t>
        </is>
      </c>
      <c r="B37" s="4" t="n"/>
      <c r="C37" s="4" t="n"/>
      <c r="D37" s="4" t="n"/>
      <c r="E37" s="4" t="n"/>
    </row>
    <row r="38">
      <c r="A38" s="63" t="inlineStr">
        <is>
          <t xml:space="preserve">  1. Complete source code (Git repository access)</t>
        </is>
      </c>
    </row>
    <row r="39">
      <c r="A39" s="63" t="inlineStr">
        <is>
          <t xml:space="preserve">  2. Deployment to production environment</t>
        </is>
      </c>
    </row>
    <row r="40">
      <c r="A40" s="63" t="inlineStr">
        <is>
          <t xml:space="preserve">  3. Technical documentation and API reference</t>
        </is>
      </c>
    </row>
    <row r="41">
      <c r="A41" s="63" t="inlineStr">
        <is>
          <t xml:space="preserve">  4. User guide / admin manual</t>
        </is>
      </c>
    </row>
    <row r="42">
      <c r="A42" s="63" t="inlineStr">
        <is>
          <t xml:space="preserve">  5. 30 days post-launch bug fix support</t>
        </is>
      </c>
    </row>
    <row r="43">
      <c r="A43" s="63" t="inlineStr">
        <is>
          <t xml:space="preserve">  6. [Add/modify deliverables as needed]</t>
        </is>
      </c>
    </row>
    <row r="45">
      <c r="A45" s="3" t="inlineStr">
        <is>
          <t>5. PRICING</t>
        </is>
      </c>
      <c r="B45" s="4" t="n"/>
      <c r="C45" s="4" t="n"/>
      <c r="D45" s="4" t="n"/>
      <c r="E45" s="4" t="n"/>
    </row>
    <row r="46">
      <c r="A46" s="64" t="inlineStr">
        <is>
          <t>Total Estimated Hours</t>
        </is>
      </c>
      <c r="C46" s="17">
        <f>'Cost Calculator'!C4</f>
        <v/>
      </c>
    </row>
    <row r="47">
      <c r="A47" s="64" t="inlineStr">
        <is>
          <t>Hourly Rate</t>
        </is>
      </c>
      <c r="C47" s="44">
        <f>'Cost Calculator'!C3</f>
        <v/>
      </c>
    </row>
    <row r="48">
      <c r="A48" s="64" t="inlineStr">
        <is>
          <t>Subtotal</t>
        </is>
      </c>
      <c r="C48" s="44">
        <f>'Cost Calculator'!C18</f>
        <v/>
      </c>
    </row>
    <row r="49">
      <c r="A49" s="64" t="inlineStr">
        <is>
          <t>Profit Margin</t>
        </is>
      </c>
      <c r="C49" s="44">
        <f>'Cost Calculator'!C19</f>
        <v/>
      </c>
    </row>
    <row r="50">
      <c r="A50" s="64" t="inlineStr">
        <is>
          <t>Taxes</t>
        </is>
      </c>
      <c r="C50" s="44">
        <f>'Cost Calculator'!C21</f>
        <v/>
      </c>
    </row>
    <row r="51">
      <c r="A51" s="28" t="inlineStr">
        <is>
          <t>TOTAL PROJECT COST</t>
        </is>
      </c>
      <c r="C51" s="46">
        <f>'Cost Calculator'!C23</f>
        <v/>
      </c>
    </row>
    <row r="53">
      <c r="A53" s="3" t="inlineStr">
        <is>
          <t>6. TERMS &amp; CONDITIONS</t>
        </is>
      </c>
      <c r="B53" s="4" t="n"/>
      <c r="C53" s="4" t="n"/>
      <c r="D53" s="4" t="n"/>
      <c r="E53" s="4" t="n"/>
    </row>
    <row r="54">
      <c r="A54" s="63" t="inlineStr">
        <is>
          <t xml:space="preserve">  1. Payment: 50% deposit required before work begins, 50% upon completion.</t>
        </is>
      </c>
    </row>
    <row r="55">
      <c r="A55" s="63" t="inlineStr">
        <is>
          <t xml:space="preserve">  2. Changes: Scope changes require written change request and may affect timeline/cost.</t>
        </is>
      </c>
    </row>
    <row r="56">
      <c r="A56" s="63" t="inlineStr">
        <is>
          <t xml:space="preserve">  3. Timeline: Dates are estimates based on timely client feedback (48hr turnaround).</t>
        </is>
      </c>
    </row>
    <row r="57">
      <c r="A57" s="63" t="inlineStr">
        <is>
          <t xml:space="preserve">  4. IP Rights: All intellectual property transfers to client upon final payment.</t>
        </is>
      </c>
    </row>
    <row r="58">
      <c r="A58" s="63" t="inlineStr">
        <is>
          <t xml:space="preserve">  5. Cancellation: Either party may cancel with 14 days written notice.</t>
        </is>
      </c>
    </row>
    <row r="59">
      <c r="A59" s="63" t="inlineStr">
        <is>
          <t xml:space="preserve">  6. Confidentiality: Both parties agree to keep project details confidential.</t>
        </is>
      </c>
    </row>
    <row r="60">
      <c r="A60" s="65" t="inlineStr">
        <is>
          <t xml:space="preserve">  7. [Modify these terms to match your standard contract language.]</t>
        </is>
      </c>
    </row>
  </sheetData>
  <mergeCells count="25">
    <mergeCell ref="A39:E39"/>
    <mergeCell ref="A59:E59"/>
    <mergeCell ref="A60:E60"/>
    <mergeCell ref="A1:E1"/>
    <mergeCell ref="A9:E11"/>
    <mergeCell ref="A45:E45"/>
    <mergeCell ref="A54:E54"/>
    <mergeCell ref="A41:E41"/>
    <mergeCell ref="A37:E37"/>
    <mergeCell ref="A56:E56"/>
    <mergeCell ref="A55:E55"/>
    <mergeCell ref="A26:E26"/>
    <mergeCell ref="A57:E57"/>
    <mergeCell ref="A42:E42"/>
    <mergeCell ref="C3:E3"/>
    <mergeCell ref="A8:E8"/>
    <mergeCell ref="C6:E6"/>
    <mergeCell ref="A53:E53"/>
    <mergeCell ref="A43:E43"/>
    <mergeCell ref="C5:E5"/>
    <mergeCell ref="A38:E38"/>
    <mergeCell ref="C4:E4"/>
    <mergeCell ref="A13:E13"/>
    <mergeCell ref="A58:E58"/>
    <mergeCell ref="A40:E40"/>
  </mergeCells>
  <pageMargins left="0.75" right="0.75" top="0.75" bottom="0.75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2026-04-08T04:49:59Z</dcterms:created>
  <dcterms:modified xmlns:dcterms="http://purl.org/dc/terms/" xmlns:xsi="http://www.w3.org/2001/XMLSchema-instance" xsi:type="dcterms:W3CDTF">2026-04-08T04:49:59Z</dcterms:modified>
</cp:coreProperties>
</file>